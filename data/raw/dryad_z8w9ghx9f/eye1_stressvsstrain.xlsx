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560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16" i="1" l="1"/>
  <c r="V16" i="1"/>
  <c r="V17" i="1"/>
  <c r="V18" i="1"/>
  <c r="V19" i="1"/>
  <c r="V20" i="1"/>
  <c r="V21" i="1"/>
  <c r="V22" i="1"/>
  <c r="V24" i="1"/>
  <c r="T14" i="1"/>
  <c r="W17" i="1"/>
  <c r="W18" i="1"/>
  <c r="W19" i="1"/>
  <c r="W20" i="1"/>
  <c r="W21" i="1"/>
  <c r="W22" i="1"/>
  <c r="W25" i="1"/>
  <c r="V25" i="1"/>
  <c r="W24" i="1"/>
  <c r="W14" i="1"/>
  <c r="V14" i="1"/>
  <c r="U14" i="1"/>
  <c r="D32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6" i="1"/>
  <c r="C36" i="1"/>
  <c r="C35" i="1"/>
  <c r="N27" i="1"/>
  <c r="C31" i="1"/>
  <c r="C30" i="1"/>
  <c r="N26" i="1"/>
  <c r="D31" i="1"/>
  <c r="D30" i="1"/>
  <c r="O26" i="1"/>
  <c r="N21" i="1"/>
  <c r="D36" i="1"/>
  <c r="D35" i="1"/>
  <c r="O27" i="1"/>
  <c r="N22" i="1"/>
  <c r="D27" i="1"/>
  <c r="D28" i="1"/>
  <c r="D29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<sst xmlns="http://schemas.openxmlformats.org/spreadsheetml/2006/main" count="33" uniqueCount="26">
  <si>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</si>
  <si>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</si>
  <si>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</si>
  <si>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</si>
  <si>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</si>
  <si>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</si>
  <si>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</si>
  <si>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</si>
  <si>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</si>
  <si>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</si>
  <si>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strain</t>
  </si>
  <si>
    <t>m</t>
  </si>
  <si>
    <t>a</t>
  </si>
  <si>
    <t>aveage</t>
  </si>
  <si>
    <t>std</t>
  </si>
  <si>
    <t xml:space="preserve">contorl </t>
  </si>
  <si>
    <t>CXL</t>
  </si>
  <si>
    <t>eye 1</t>
  </si>
  <si>
    <t>eye 2</t>
  </si>
  <si>
    <t>eye 3</t>
  </si>
  <si>
    <t>eye 4</t>
  </si>
  <si>
    <t>eye 5</t>
  </si>
  <si>
    <t>eye 6</t>
  </si>
  <si>
    <t>eye 7</t>
  </si>
  <si>
    <t>(CXL-control)/control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</si>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</sst>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Symbol"/>
      <charset val="2"/>
    </font>
    <font>
      <i/>
      <sz val="12"/>
      <color theme="1"/>
      <name val="Times New Roman"/>
    </font>
    <font>
      <sz val="12"/>
      <color theme="1"/>
      <name val="Times New Roman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35280"/>
        <c:axId val="1343737056"/>
      </c:scatterChart>
      <c:valAx>
        <c:axId val="1343735280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343737056"/>
        <c:crosses val="autoZero"/>
        <c:crossBetween val="midCat"/>
      </c:valAx>
      <c:valAx>
        <c:axId val="1343737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3735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'MC1'!$A$26:$A$49</c:f>
              <c:numCache>
                <c:formatCode>0.000</c:formatCode>
                <c:ptCount val="24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</c:numCache>
            </c:numRef>
          </c:xVal>
          <c:yVal>
            <c:numRef>
              <c:f>'MC1'!$C$26:$C$49</c:f>
              <c:numCache>
                <c:formatCode>General</c:formatCode>
                <c:ptCount val="24"/>
                <c:pt idx="0">
                  <c:v>0.0</c:v>
                </c:pt>
                <c:pt idx="1">
                  <c:v>6.42377928507225E-5</c:v>
                </c:pt>
                <c:pt idx="2">
                  <c:v>0.000135767213690253</c:v>
                </c:pt>
                <c:pt idx="3">
                  <c:v>0.000216641550448291</c:v>
                </c:pt>
                <c:pt idx="4">
                  <c:v>0.000309272767695561</c:v>
                </c:pt>
                <c:pt idx="5">
                  <c:v>0.000416508133389942</c:v>
                </c:pt>
                <c:pt idx="6">
                  <c:v>0.000541721334868142</c:v>
                </c:pt>
                <c:pt idx="7">
                  <c:v>0.000688920942005583</c:v>
                </c:pt>
                <c:pt idx="8">
                  <c:v>0.0008628796154544</c:v>
                </c:pt>
                <c:pt idx="9">
                  <c:v>0.00106928810014757</c:v>
                </c:pt>
                <c:pt idx="10">
                  <c:v>0.0013149388077675</c:v>
                </c:pt>
                <c:pt idx="11">
                  <c:v>0.00160794469903818</c:v>
                </c:pt>
                <c:pt idx="12">
                  <c:v>0.00195800025403556</c:v>
                </c:pt>
                <c:pt idx="13">
                  <c:v>0.00237669259758821</c:v>
                </c:pt>
                <c:pt idx="14">
                  <c:v>0.00287787236434583</c:v>
                </c:pt>
                <c:pt idx="15">
                  <c:v>0.00347809568804954</c:v>
                </c:pt>
                <c:pt idx="16">
                  <c:v>0.00419715083372264</c:v>
                </c:pt>
                <c:pt idx="17">
                  <c:v>0.00505868552105472</c:v>
                </c:pt>
                <c:pt idx="18">
                  <c:v>0.00609095398436301</c:v>
                </c:pt>
                <c:pt idx="19">
                  <c:v>0.00732770636437122</c:v>
                </c:pt>
                <c:pt idx="20">
                  <c:v>0.00880924723015632</c:v>
                </c:pt>
                <c:pt idx="21">
                  <c:v>0.0105836950045156</c:v>
                </c:pt>
                <c:pt idx="22">
                  <c:v>0.0127084799524586</c:v>
                </c:pt>
                <c:pt idx="23">
                  <c:v>0.0152521253552577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'MC1'!$A$26:$A$40</c:f>
              <c:numCache>
                <c:formatCode>0.000</c:formatCode>
                <c:ptCount val="15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</c:numCache>
            </c:numRef>
          </c:xVal>
          <c:yVal>
            <c:numRef>
              <c:f>'MC1'!$D$26:$D$40</c:f>
              <c:numCache>
                <c:formatCode>General</c:formatCode>
                <c:ptCount val="15"/>
                <c:pt idx="0">
                  <c:v>0.0</c:v>
                </c:pt>
                <c:pt idx="1">
                  <c:v>0.000256227285418991</c:v>
                </c:pt>
                <c:pt idx="2">
                  <c:v>0.000548090344409722</c:v>
                </c:pt>
                <c:pt idx="3">
                  <c:v>0.000887311373088545</c:v>
                </c:pt>
                <c:pt idx="4">
                  <c:v>0.00128810570204754</c:v>
                </c:pt>
                <c:pt idx="5">
                  <c:v>0.00176781457141466</c:v>
                </c:pt>
                <c:pt idx="6">
                  <c:v>0.00234768282358326</c:v>
                </c:pt>
                <c:pt idx="7">
                  <c:v>0.00305381580546717</c:v>
                </c:pt>
                <c:pt idx="8">
                  <c:v>0.00391835761529943</c:v>
                </c:pt>
                <c:pt idx="9">
                  <c:v>0.00498094246552155</c:v>
                </c:pt>
                <c:pt idx="10">
                  <c:v>0.00629048276597614</c:v>
                </c:pt>
                <c:pt idx="11">
                  <c:v>0.00790737205286801</c:v>
                </c:pt>
                <c:pt idx="12">
                  <c:v>0.009906198700616</c:v>
                </c:pt>
                <c:pt idx="13">
                  <c:v>0.0123790881909402</c:v>
                </c:pt>
                <c:pt idx="14">
                  <c:v>0.0154398184739761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137616"/>
        <c:axId val="1129140736"/>
      </c:scatterChart>
      <c:valAx>
        <c:axId val="112913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40736"/>
        <c:crosses val="autoZero"/>
        <c:crossBetween val="midCat"/>
      </c:valAx>
      <c:valAx>
        <c:axId val="11291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3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0.0536176828471908</c:v>
                </c:pt>
                <c:pt idx="1">
                  <c:v>0.239854434683561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0.122825353809962</c:v>
                </c:pt>
                <c:pt idx="1">
                  <c:v>0.654770150227297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1351936"/>
        <c:axId val="1271466496"/>
        <c:axId val="0"/>
      </c:bar3DChart>
      <c:catAx>
        <c:axId val="127135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66496"/>
        <c:crosses val="autoZero"/>
        <c:auto val="1"/>
        <c:lblAlgn val="ctr"/>
        <c:lblOffset val="100"/>
        <c:noMultiLvlLbl val="0"/>
      </c:catAx>
      <c:valAx>
        <c:axId val="12714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30308</xdr:colOff>
      <xdr:row>2</xdr:row>
      <xdr:rowOff>57151</xdr:rowOff>
    </xdr:from>
    <xdr:to>
      <xdr:col>16</xdr:col>
      <xdr:colOff>344921</xdr:colOff>
      <xdr:row>16</xdr:row>
      <xdr:rowOff>173760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zoomScale="88" zoomScaleNormal="116" zoomScalePageLayoutView="116" workbookViewId="0">
      <selection activeCell="S12" sqref="S12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23" ht="21" x14ac:dyDescent="0.25">
      <c r="A1" s="14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3"/>
      <c r="S1" s="13"/>
      <c r="T1" s="13"/>
      <c r="U1" s="13"/>
      <c r="V1" s="13"/>
      <c r="W1" s="13"/>
    </row>
    <row r="5" spans="1:23" x14ac:dyDescent="0.2">
      <c r="T5" t="s">
        <v>15</v>
      </c>
      <c r="V5" t="s">
        <v>16</v>
      </c>
    </row>
    <row r="6" spans="1:23" ht="17" thickBot="1" x14ac:dyDescent="0.25">
      <c r="T6" s="9" t="s">
        <v>11</v>
      </c>
      <c r="U6" s="9" t="s">
        <v>12</v>
      </c>
      <c r="V6" s="9" t="s">
        <v>11</v>
      </c>
      <c r="W6" s="9" t="s">
        <v>12</v>
      </c>
    </row>
    <row r="7" spans="1:23" ht="16" x14ac:dyDescent="0.2">
      <c r="S7" t="s">
        <v>17</v>
      </c>
      <c r="T7" s="10">
        <v>1.0200000000000001E-2</v>
      </c>
      <c r="U7" s="11">
        <v>96.07</v>
      </c>
      <c r="V7" s="11">
        <v>4.0300000000000002E-2</v>
      </c>
      <c r="W7" s="11">
        <v>112.54</v>
      </c>
    </row>
    <row r="8" spans="1:23" ht="16" x14ac:dyDescent="0.2">
      <c r="S8" t="s">
        <v>18</v>
      </c>
      <c r="T8" s="10">
        <v>0.01</v>
      </c>
      <c r="U8" s="12">
        <v>57.3</v>
      </c>
      <c r="V8" s="12">
        <v>1.3899999999999999E-2</v>
      </c>
      <c r="W8" s="12">
        <v>73.31</v>
      </c>
    </row>
    <row r="9" spans="1:23" ht="16" x14ac:dyDescent="0.2">
      <c r="S9" t="s">
        <v>19</v>
      </c>
      <c r="T9" s="10">
        <v>9.1000000000000004E-3</v>
      </c>
      <c r="U9" s="11">
        <v>64.69</v>
      </c>
      <c r="V9" s="11">
        <v>1.26E-2</v>
      </c>
      <c r="W9" s="11">
        <v>80.930000000000007</v>
      </c>
    </row>
    <row r="10" spans="1:23" ht="16" x14ac:dyDescent="0.2">
      <c r="S10" t="s">
        <v>20</v>
      </c>
      <c r="T10" s="10">
        <v>1.44E-2</v>
      </c>
      <c r="U10" s="12">
        <v>75.52</v>
      </c>
      <c r="V10" s="12">
        <v>1.12E-2</v>
      </c>
      <c r="W10" s="12">
        <v>151.22</v>
      </c>
    </row>
    <row r="11" spans="1:23" ht="16" x14ac:dyDescent="0.2">
      <c r="S11" t="s">
        <v>21</v>
      </c>
      <c r="T11" s="10">
        <v>8.2000000000000007E-3</v>
      </c>
      <c r="U11" s="11">
        <v>57.65</v>
      </c>
      <c r="V11" s="11">
        <v>8.8000000000000005E-3</v>
      </c>
      <c r="W11" s="11">
        <v>90.42</v>
      </c>
    </row>
    <row r="12" spans="1:23" ht="16" x14ac:dyDescent="0.2">
      <c r="S12" t="s">
        <v>22</v>
      </c>
      <c r="T12" s="10">
        <v>9.5999999999999992E-3</v>
      </c>
      <c r="U12" s="12">
        <v>53.1</v>
      </c>
      <c r="V12" s="12">
        <v>8.5000000000000006E-3</v>
      </c>
      <c r="W12" s="12">
        <v>84.4</v>
      </c>
    </row>
    <row r="13" spans="1:23" ht="16" x14ac:dyDescent="0.2">
      <c r="S13" t="s">
        <v>23</v>
      </c>
      <c r="T13" s="10">
        <v>1.3299999999999999E-2</v>
      </c>
      <c r="U13" s="11">
        <v>51.36</v>
      </c>
      <c r="V13" s="11">
        <v>2.8799999999999999E-2</v>
      </c>
      <c r="W13" s="11">
        <v>67.62</v>
      </c>
    </row>
    <row r="14" spans="1:23" x14ac:dyDescent="0.2">
      <c r="S14" t="s">
        <v>13</v>
      </c>
      <c r="T14">
        <f>AVERAGE(T7:T13)</f>
        <v>1.0685714285714286E-2</v>
      </c>
      <c r="U14">
        <f>AVERAGE(U7:U13)</f>
        <v>65.098571428571432</v>
      </c>
      <c r="V14">
        <f>AVERAGE(V7:V13)</f>
        <v>1.7728571428571427E-2</v>
      </c>
      <c r="W14">
        <f>AVERAGE(W7:W13)</f>
        <v>94.348571428571432</v>
      </c>
    </row>
    <row r="16" spans="1:23" x14ac:dyDescent="0.2">
      <c r="V16">
        <f t="shared" ref="V16:W22" si="0">(V7-T7)/T7</f>
        <v>2.9509803921568629</v>
      </c>
      <c r="W16">
        <f t="shared" si="0"/>
        <v>0.17143749349432721</v>
      </c>
    </row>
    <row r="17" spans="1:23" x14ac:dyDescent="0.2">
      <c r="B17" t="s">
        <v>0</v>
      </c>
      <c r="V17">
        <f t="shared" si="0"/>
        <v>0.3899999999999999</v>
      </c>
      <c r="W17">
        <f t="shared" si="0"/>
        <v>0.27940663176265279</v>
      </c>
    </row>
    <row r="18" spans="1:23" x14ac:dyDescent="0.2">
      <c r="B18" s="7"/>
      <c r="C18" s="8" t="s">
        <v>1</v>
      </c>
      <c r="D18" s="8" t="s">
        <v>2</v>
      </c>
      <c r="E18" s="1"/>
      <c r="F18" s="1"/>
      <c r="G18" s="1"/>
      <c r="H18" s="1"/>
      <c r="I18" s="1"/>
      <c r="J18" s="1"/>
      <c r="K18" s="1"/>
      <c r="V18">
        <f t="shared" si="0"/>
        <v>0.38461538461538458</v>
      </c>
      <c r="W18">
        <f t="shared" si="0"/>
        <v>0.25104343793476597</v>
      </c>
    </row>
    <row r="19" spans="1:23" x14ac:dyDescent="0.2">
      <c r="B19" s="5" t="s">
        <v>3</v>
      </c>
      <c r="C19" s="6">
        <v>1.0200000000000001E-2</v>
      </c>
      <c r="D19" s="6">
        <v>4.0300000000000002E-2</v>
      </c>
      <c r="V19">
        <f t="shared" si="0"/>
        <v>-0.22222222222222221</v>
      </c>
      <c r="W19">
        <f t="shared" si="0"/>
        <v>1.0023834745762712</v>
      </c>
    </row>
    <row r="20" spans="1:23" x14ac:dyDescent="0.2">
      <c r="B20" s="5" t="s">
        <v>4</v>
      </c>
      <c r="C20" s="6">
        <v>96.075100000000006</v>
      </c>
      <c r="D20" s="6">
        <v>112.5431</v>
      </c>
      <c r="V20">
        <f t="shared" si="0"/>
        <v>7.3170731707317041E-2</v>
      </c>
      <c r="W20">
        <f t="shared" si="0"/>
        <v>0.56843018213356467</v>
      </c>
    </row>
    <row r="21" spans="1:23" x14ac:dyDescent="0.2">
      <c r="B21" s="1"/>
      <c r="M21" t="s">
        <v>5</v>
      </c>
      <c r="N21">
        <f>O26/N26</f>
        <v>4.4734203707970819</v>
      </c>
      <c r="V21">
        <f t="shared" si="0"/>
        <v>-0.11458333333333319</v>
      </c>
      <c r="W21">
        <f t="shared" si="0"/>
        <v>0.58945386064030136</v>
      </c>
    </row>
    <row r="22" spans="1:23" x14ac:dyDescent="0.2">
      <c r="B22" s="1"/>
      <c r="M22" t="s">
        <v>6</v>
      </c>
      <c r="N22">
        <f>O27/N27</f>
        <v>5.3309038396125752</v>
      </c>
      <c r="V22">
        <f t="shared" si="0"/>
        <v>1.1654135338345866</v>
      </c>
      <c r="W22">
        <f t="shared" si="0"/>
        <v>0.31658878504672905</v>
      </c>
    </row>
    <row r="23" spans="1:23" x14ac:dyDescent="0.2">
      <c r="T23" t="s">
        <v>24</v>
      </c>
    </row>
    <row r="24" spans="1:23" x14ac:dyDescent="0.2">
      <c r="C24" t="s">
        <v>1</v>
      </c>
      <c r="D24" t="s">
        <v>2</v>
      </c>
      <c r="U24" t="s">
        <v>13</v>
      </c>
      <c r="V24" s="13">
        <f>AVERAGE(V16:V22)</f>
        <v>0.66105349810837077</v>
      </c>
      <c r="W24" s="13">
        <f>AVERAGE(W16:W22)</f>
        <v>0.4541062665126589</v>
      </c>
    </row>
    <row r="25" spans="1:23" ht="30" x14ac:dyDescent="0.2">
      <c r="A25" t="s">
        <v>10</v>
      </c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  <c r="U25" t="s">
        <v>14</v>
      </c>
      <c r="V25">
        <f>STDEV(V16:V22)</f>
        <v>1.1087099782027821</v>
      </c>
      <c r="W25">
        <f>STDEV(W16:W22)</f>
        <v>0.28941434929909987</v>
      </c>
    </row>
    <row r="26" spans="1:23" x14ac:dyDescent="0.2">
      <c r="A26" s="3">
        <f>B26-1</f>
        <v>0</v>
      </c>
      <c r="B26" s="3">
        <v>1</v>
      </c>
      <c r="C26">
        <v>0</v>
      </c>
      <c r="D26">
        <v>0</v>
      </c>
      <c r="M26" s="4">
        <v>0.01</v>
      </c>
      <c r="N26">
        <f>(C31-C30)/($B$31-$B$30)</f>
        <v>5.3617682847190797E-2</v>
      </c>
      <c r="O26">
        <f>(D31-D30)/($B$31-$B$30)</f>
        <v>0.2398544346835606</v>
      </c>
    </row>
    <row r="27" spans="1:23" x14ac:dyDescent="0.2">
      <c r="A27" s="3">
        <f t="shared" ref="A27:A51" si="1">B27-1</f>
        <v>2.0000000000000018E-3</v>
      </c>
      <c r="B27" s="3">
        <v>1.002</v>
      </c>
      <c r="C27">
        <f t="shared" ref="C27:C37" si="2">((2*C$19)/C$20)*($B27^(C$20-1)-$B27^(-1-C$20/2))</f>
        <v>6.4237792850722496E-5</v>
      </c>
      <c r="D27">
        <f t="shared" ref="D27:D37" si="3">((2*D$19)/D$20)*($B27^(D$20-1)-$B27^(-1-D$20/2))</f>
        <v>2.5622728541899143E-4</v>
      </c>
      <c r="M27" s="4">
        <v>0.02</v>
      </c>
      <c r="N27">
        <f>(C36-C35)/($B$36-$B$35)</f>
        <v>0.1228253538099616</v>
      </c>
      <c r="O27">
        <f>(D36-D35)/($B$36-$B$35)</f>
        <v>0.65477015022729734</v>
      </c>
    </row>
    <row r="28" spans="1:23" x14ac:dyDescent="0.2">
      <c r="A28" s="3">
        <f t="shared" si="1"/>
        <v>4.0000000000000036E-3</v>
      </c>
      <c r="B28" s="3">
        <v>1.004</v>
      </c>
      <c r="C28">
        <f t="shared" si="2"/>
        <v>1.3576721369025285E-4</v>
      </c>
      <c r="D28">
        <f t="shared" si="3"/>
        <v>5.4809034440972241E-4</v>
      </c>
    </row>
    <row r="29" spans="1:23" x14ac:dyDescent="0.2">
      <c r="A29" s="3">
        <f t="shared" si="1"/>
        <v>6.0000000000000053E-3</v>
      </c>
      <c r="B29" s="3">
        <v>1.006</v>
      </c>
      <c r="C29">
        <f t="shared" si="2"/>
        <v>2.166415504482912E-4</v>
      </c>
      <c r="D29">
        <f t="shared" si="3"/>
        <v>8.8731137308854552E-4</v>
      </c>
    </row>
    <row r="30" spans="1:23" x14ac:dyDescent="0.2">
      <c r="A30" s="3">
        <f t="shared" si="1"/>
        <v>8.0000000000000071E-3</v>
      </c>
      <c r="B30" s="3">
        <v>1.008</v>
      </c>
      <c r="C30">
        <f t="shared" si="2"/>
        <v>3.0927276769556069E-4</v>
      </c>
      <c r="D30">
        <f t="shared" si="3"/>
        <v>1.2881057020475378E-3</v>
      </c>
    </row>
    <row r="31" spans="1:23" x14ac:dyDescent="0.2">
      <c r="A31" s="3">
        <f t="shared" si="1"/>
        <v>1.0000000000000009E-2</v>
      </c>
      <c r="B31" s="3">
        <v>1.01</v>
      </c>
      <c r="C31">
        <f t="shared" si="2"/>
        <v>4.1650813338994238E-4</v>
      </c>
      <c r="D31">
        <f t="shared" si="3"/>
        <v>1.7678145714146594E-3</v>
      </c>
    </row>
    <row r="32" spans="1:23" x14ac:dyDescent="0.2">
      <c r="A32" s="3">
        <f t="shared" si="1"/>
        <v>1.2000000000000011E-2</v>
      </c>
      <c r="B32" s="3">
        <v>1.012</v>
      </c>
      <c r="C32">
        <f t="shared" si="2"/>
        <v>5.4172133486814211E-4</v>
      </c>
      <c r="D32">
        <f>((2*D$19)/D$20)*($B32^(D$20-1)-$B32^(-1-D$20/2))</f>
        <v>2.3476828235832617E-3</v>
      </c>
    </row>
    <row r="33" spans="1:4" x14ac:dyDescent="0.2">
      <c r="A33" s="3">
        <f t="shared" si="1"/>
        <v>1.4000000000000012E-2</v>
      </c>
      <c r="B33" s="3">
        <v>1.014</v>
      </c>
      <c r="C33">
        <f t="shared" si="2"/>
        <v>6.8892094200558355E-4</v>
      </c>
      <c r="D33">
        <f t="shared" si="3"/>
        <v>3.053815805467174E-3</v>
      </c>
    </row>
    <row r="34" spans="1:4" x14ac:dyDescent="0.2">
      <c r="A34" s="3">
        <f t="shared" si="1"/>
        <v>1.6000000000000014E-2</v>
      </c>
      <c r="B34" s="3">
        <v>1.016</v>
      </c>
      <c r="C34">
        <f t="shared" si="2"/>
        <v>8.6287961545440054E-4</v>
      </c>
      <c r="D34">
        <f t="shared" si="3"/>
        <v>3.9183576152994355E-3</v>
      </c>
    </row>
    <row r="35" spans="1:4" x14ac:dyDescent="0.2">
      <c r="A35" s="3">
        <f t="shared" si="1"/>
        <v>1.8000000000000016E-2</v>
      </c>
      <c r="B35" s="3">
        <v>1.018</v>
      </c>
      <c r="C35">
        <f t="shared" si="2"/>
        <v>1.0692881001475741E-3</v>
      </c>
      <c r="D35">
        <f t="shared" si="3"/>
        <v>4.980942465521547E-3</v>
      </c>
    </row>
    <row r="36" spans="1:4" x14ac:dyDescent="0.2">
      <c r="A36" s="3">
        <f t="shared" si="1"/>
        <v>2.0000000000000018E-2</v>
      </c>
      <c r="B36" s="3">
        <v>1.02</v>
      </c>
      <c r="C36">
        <f>((2*C$19)/C$20)*($B36^(C$20-1)-$B36^(-1-C$20/2))</f>
        <v>1.3149388077674975E-3</v>
      </c>
      <c r="D36">
        <f t="shared" si="3"/>
        <v>6.2904827659761428E-3</v>
      </c>
    </row>
    <row r="37" spans="1:4" x14ac:dyDescent="0.2">
      <c r="A37" s="3">
        <f t="shared" si="1"/>
        <v>2.200000000000002E-2</v>
      </c>
      <c r="B37" s="3">
        <v>1.022</v>
      </c>
      <c r="C37">
        <f t="shared" si="2"/>
        <v>1.607944699038185E-3</v>
      </c>
      <c r="D37">
        <f t="shared" si="3"/>
        <v>7.9073720528680166E-3</v>
      </c>
    </row>
    <row r="38" spans="1:4" x14ac:dyDescent="0.2">
      <c r="A38" s="3">
        <f t="shared" si="1"/>
        <v>2.4000000000000021E-2</v>
      </c>
      <c r="B38" s="3">
        <v>1.024</v>
      </c>
      <c r="C38">
        <f t="shared" ref="C38:D51" si="4">((2*C$19)/C$20)*($B38^(C$20-1)-$B38^(-1-C$20/2))</f>
        <v>1.958000254035557E-3</v>
      </c>
      <c r="D38">
        <f t="shared" si="4"/>
        <v>9.9061987006160077E-3</v>
      </c>
    </row>
    <row r="39" spans="1:4" x14ac:dyDescent="0.2">
      <c r="A39" s="3">
        <f t="shared" si="1"/>
        <v>2.6000000000000023E-2</v>
      </c>
      <c r="B39" s="3">
        <v>1.026</v>
      </c>
      <c r="C39">
        <f t="shared" si="4"/>
        <v>2.3766925975882095E-3</v>
      </c>
      <c r="D39">
        <f t="shared" si="4"/>
        <v>1.2379088190940241E-2</v>
      </c>
    </row>
    <row r="40" spans="1:4" x14ac:dyDescent="0.2">
      <c r="A40" s="3">
        <f t="shared" si="1"/>
        <v>2.8000000000000025E-2</v>
      </c>
      <c r="B40" s="3">
        <v>1.028</v>
      </c>
      <c r="C40">
        <f t="shared" si="4"/>
        <v>2.877872364345827E-3</v>
      </c>
      <c r="D40">
        <f t="shared" si="4"/>
        <v>1.543981847397608E-2</v>
      </c>
    </row>
    <row r="41" spans="1:4" x14ac:dyDescent="0.2">
      <c r="A41" s="3">
        <f t="shared" si="1"/>
        <v>3.0000000000000027E-2</v>
      </c>
      <c r="B41" s="3">
        <v>1.03</v>
      </c>
      <c r="C41">
        <f t="shared" si="4"/>
        <v>3.478095688049544E-3</v>
      </c>
      <c r="D41">
        <f t="shared" si="4"/>
        <v>1.9228885735505186E-2</v>
      </c>
    </row>
    <row r="42" spans="1:4" x14ac:dyDescent="0.2">
      <c r="A42" s="3">
        <f t="shared" si="1"/>
        <v>3.2000000000000028E-2</v>
      </c>
      <c r="B42" s="3">
        <v>1.032</v>
      </c>
      <c r="C42">
        <f t="shared" si="4"/>
        <v>4.1971508337226423E-3</v>
      </c>
      <c r="D42">
        <f t="shared" si="4"/>
        <v>2.3919738019258605E-2</v>
      </c>
    </row>
    <row r="43" spans="1:4" x14ac:dyDescent="0.2">
      <c r="A43" s="3">
        <f t="shared" si="1"/>
        <v>3.400000000000003E-2</v>
      </c>
      <c r="B43" s="3">
        <v>1.034</v>
      </c>
      <c r="C43">
        <f t="shared" si="4"/>
        <v>5.0586855210547239E-3</v>
      </c>
      <c r="D43">
        <f t="shared" si="4"/>
        <v>2.9726443273868711E-2</v>
      </c>
    </row>
    <row r="44" spans="1:4" x14ac:dyDescent="0.2">
      <c r="A44" s="3">
        <f t="shared" si="1"/>
        <v>3.6000000000000032E-2</v>
      </c>
      <c r="B44" s="3">
        <v>1.036</v>
      </c>
      <c r="C44">
        <f t="shared" si="4"/>
        <v>6.0909539843630161E-3</v>
      </c>
      <c r="D44">
        <f t="shared" si="4"/>
        <v>3.6913118487751188E-2</v>
      </c>
    </row>
    <row r="45" spans="1:4" x14ac:dyDescent="0.2">
      <c r="A45" s="3">
        <f t="shared" si="1"/>
        <v>3.8000000000000034E-2</v>
      </c>
      <c r="B45" s="3">
        <v>1.038</v>
      </c>
      <c r="C45">
        <f t="shared" si="4"/>
        <v>7.3277063643712257E-3</v>
      </c>
      <c r="D45">
        <f t="shared" si="4"/>
        <v>4.5805520063729871E-2</v>
      </c>
    </row>
    <row r="46" spans="1:4" x14ac:dyDescent="0.2">
      <c r="A46" s="3">
        <f t="shared" si="1"/>
        <v>4.0000000000000036E-2</v>
      </c>
      <c r="B46" s="3">
        <v>1.04</v>
      </c>
      <c r="C46">
        <f t="shared" si="4"/>
        <v>8.8092472301563255E-3</v>
      </c>
      <c r="D46">
        <f t="shared" si="4"/>
        <v>5.680528541855636E-2</v>
      </c>
    </row>
    <row r="47" spans="1:4" x14ac:dyDescent="0.2">
      <c r="A47" s="3">
        <f t="shared" si="1"/>
        <v>4.2000000000000037E-2</v>
      </c>
      <c r="B47" s="3">
        <v>1.042</v>
      </c>
      <c r="C47">
        <f t="shared" si="4"/>
        <v>1.0583695004515626E-2</v>
      </c>
      <c r="D47">
        <f t="shared" si="4"/>
        <v>7.0407425562683132E-2</v>
      </c>
    </row>
    <row r="48" spans="1:4" x14ac:dyDescent="0.2">
      <c r="A48" s="3">
        <f t="shared" si="1"/>
        <v>4.4000000000000039E-2</v>
      </c>
      <c r="B48" s="3">
        <v>1.044</v>
      </c>
      <c r="C48">
        <f t="shared" si="4"/>
        <v>1.2708479952458615E-2</v>
      </c>
      <c r="D48">
        <f t="shared" si="4"/>
        <v>8.722180249492012E-2</v>
      </c>
    </row>
    <row r="49" spans="1:4" x14ac:dyDescent="0.2">
      <c r="A49" s="3">
        <f t="shared" si="1"/>
        <v>4.6000000000000041E-2</v>
      </c>
      <c r="B49" s="3">
        <v>1.046</v>
      </c>
      <c r="C49">
        <f t="shared" si="4"/>
        <v>1.5252125355257702E-2</v>
      </c>
      <c r="D49">
        <f t="shared" si="4"/>
        <v>0.10799948895471004</v>
      </c>
    </row>
    <row r="50" spans="1:4" x14ac:dyDescent="0.2">
      <c r="A50" s="3">
        <f t="shared" si="1"/>
        <v>4.8000000000000043E-2</v>
      </c>
      <c r="B50" s="3">
        <v>1.048</v>
      </c>
      <c r="C50">
        <f t="shared" si="4"/>
        <v>1.8296364725589181E-2</v>
      </c>
      <c r="D50">
        <f t="shared" si="4"/>
        <v>0.1336651078819088</v>
      </c>
    </row>
    <row r="51" spans="1:4" x14ac:dyDescent="0.2">
      <c r="A51" s="3">
        <f t="shared" si="1"/>
        <v>5.0000000000000044E-2</v>
      </c>
      <c r="B51" s="3">
        <v>1.05</v>
      </c>
      <c r="C51">
        <f t="shared" si="4"/>
        <v>2.1938657651380152E-2</v>
      </c>
      <c r="D51">
        <f t="shared" si="4"/>
        <v>0.1653564927066774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2020-10-19T00:38:19Z</dcterms:modified>
  <cp:category/>
  <cp:contentStatus/>
</cp:coreProperties>
</file>