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907"/>
  <workbookPr filterPrivacy="1"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4220" yWindow="460" windowWidth="29380" windowHeight="19560"/>
  </bookViews>
  <sheets>
    <sheet name="MC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68" i="1" l="1"/>
  <c r="C68" i="1"/>
  <c r="D68" i="1"/>
  <c r="A67" i="1"/>
  <c r="C67" i="1"/>
  <c r="D67" i="1"/>
  <c r="A66" i="1"/>
  <c r="C66" i="1"/>
  <c r="D66" i="1"/>
  <c r="A65" i="1"/>
  <c r="C65" i="1"/>
  <c r="D65" i="1"/>
  <c r="A64" i="1"/>
  <c r="C64" i="1"/>
  <c r="D64" i="1"/>
  <c r="A63" i="1"/>
  <c r="C63" i="1"/>
  <c r="D63" i="1"/>
  <c r="A62" i="1"/>
  <c r="C62" i="1"/>
  <c r="D62" i="1"/>
  <c r="A61" i="1"/>
  <c r="D31" i="1"/>
  <c r="D30" i="1"/>
  <c r="O26" i="1"/>
  <c r="C31" i="1"/>
  <c r="C30" i="1"/>
  <c r="N26" i="1"/>
  <c r="N21" i="1"/>
  <c r="C36" i="1"/>
  <c r="C35" i="1"/>
  <c r="N27" i="1"/>
  <c r="C28" i="1"/>
  <c r="C61" i="1"/>
  <c r="D61" i="1"/>
  <c r="A60" i="1"/>
  <c r="C60" i="1"/>
  <c r="D60" i="1"/>
  <c r="A59" i="1"/>
  <c r="C59" i="1"/>
  <c r="D59" i="1"/>
  <c r="A58" i="1"/>
  <c r="C58" i="1"/>
  <c r="D58" i="1"/>
  <c r="A57" i="1"/>
  <c r="C57" i="1"/>
  <c r="D57" i="1"/>
  <c r="A56" i="1"/>
  <c r="C56" i="1"/>
  <c r="D56" i="1"/>
  <c r="A55" i="1"/>
  <c r="C55" i="1"/>
  <c r="D55" i="1"/>
  <c r="A54" i="1"/>
  <c r="C54" i="1"/>
  <c r="D54" i="1"/>
  <c r="A53" i="1"/>
  <c r="C53" i="1"/>
  <c r="D53" i="1"/>
  <c r="A52" i="1"/>
  <c r="C52" i="1"/>
  <c r="D52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6" i="1"/>
  <c r="D36" i="1"/>
  <c r="D35" i="1"/>
  <c r="O27" i="1"/>
  <c r="N22" i="1"/>
  <c r="D27" i="1"/>
  <c r="D28" i="1"/>
  <c r="D29" i="1"/>
  <c r="D32" i="1"/>
  <c r="D33" i="1"/>
  <c r="D34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7" i="1"/>
  <c r="C29" i="1"/>
  <c r="C32" i="1"/>
  <c r="C33" i="1"/>
  <c r="C34" i="1"/>
  <c r="C37" i="1"/>
</calcChain>
</file>

<file path=xl/sharedStrings.xml><?xml version="1.0" encoding="utf-8"?>
<sst xmlns="http://schemas.openxmlformats.org/spreadsheetml/2006/main" count="18" uniqueCount="14">
  <si>
    <t>Mlim</t>
  </si>
  <si>
    <t>Before</t>
  </si>
  <si>
    <t xml:space="preserve">After </t>
  </si>
  <si>
    <t>Mu1</t>
  </si>
  <si>
    <t>Alpha1</t>
  </si>
  <si>
    <t>Stretch
(lambda)</t>
  </si>
  <si>
    <t>Stress
(MPa)</t>
  </si>
  <si>
    <t>E tangent</t>
  </si>
  <si>
    <t>strain</t>
  </si>
  <si>
    <t>1% strain</t>
  </si>
  <si>
    <t>2% strain</t>
  </si>
  <si>
    <t>E Ratio at 1% strain</t>
  </si>
  <si>
    <t>E Ratio at 2% strain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</si>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</sst>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/>
    <xf numFmtId="9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10F-47B2-8891-BCD59EC0DA17}"/>
            </c:ext>
          </c:extLst>
        </c:ser>
        <c:ser>
          <c:idx val="1"/>
          <c:order val="1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10F-47B2-8891-BCD59EC0DA17}"/>
            </c:ext>
          </c:extLst>
        </c:ser>
        <c:ser>
          <c:idx val="2"/>
          <c:order val="2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C10F-47B2-8891-BCD59EC0DA17}"/>
            </c:ext>
          </c:extLst>
        </c:ser>
        <c:ser>
          <c:idx val="3"/>
          <c:order val="3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C10F-47B2-8891-BCD59EC0DA17}"/>
            </c:ext>
          </c:extLst>
        </c:ser>
        <c:ser>
          <c:idx val="4"/>
          <c:order val="4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C10F-47B2-8891-BCD59EC0DA17}"/>
            </c:ext>
          </c:extLst>
        </c:ser>
        <c:ser>
          <c:idx val="5"/>
          <c:order val="5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C10F-47B2-8891-BCD59EC0DA17}"/>
            </c:ext>
          </c:extLst>
        </c:ser>
        <c:ser>
          <c:idx val="6"/>
          <c:order val="6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C10F-47B2-8891-BCD59EC0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811120"/>
        <c:axId val="1248232224"/>
      </c:scatterChart>
      <c:valAx>
        <c:axId val="1268811120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1248232224"/>
        <c:crosses val="autoZero"/>
        <c:crossBetween val="midCat"/>
      </c:valAx>
      <c:valAx>
        <c:axId val="124823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8811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7</a:t>
            </a:r>
          </a:p>
        </c:rich>
      </c:tx>
      <c:layout>
        <c:manualLayout>
          <c:xMode val="edge"/>
          <c:yMode val="edge"/>
          <c:x val="0.449802310973491"/>
          <c:y val="0.0456242238044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'MC1'!$C$24</c:f>
              <c:strCache>
                <c:ptCount val="1"/>
                <c:pt idx="0">
                  <c:v>Before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'MC1'!$A$26:$A$60</c:f>
              <c:numCache>
                <c:formatCode>0.000</c:formatCode>
                <c:ptCount val="35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  <c:pt idx="24">
                  <c:v>0.048</c:v>
                </c:pt>
                <c:pt idx="25">
                  <c:v>0.05</c:v>
                </c:pt>
                <c:pt idx="26">
                  <c:v>0.052</c:v>
                </c:pt>
                <c:pt idx="27">
                  <c:v>0.054</c:v>
                </c:pt>
                <c:pt idx="28">
                  <c:v>0.056</c:v>
                </c:pt>
                <c:pt idx="29">
                  <c:v>0.058</c:v>
                </c:pt>
                <c:pt idx="30">
                  <c:v>0.06</c:v>
                </c:pt>
                <c:pt idx="31">
                  <c:v>0.062</c:v>
                </c:pt>
                <c:pt idx="32">
                  <c:v>0.064</c:v>
                </c:pt>
                <c:pt idx="33">
                  <c:v>0.066</c:v>
                </c:pt>
                <c:pt idx="34">
                  <c:v>0.068</c:v>
                </c:pt>
              </c:numCache>
            </c:numRef>
          </c:xVal>
          <c:yVal>
            <c:numRef>
              <c:f>'MC1'!$C$26:$C$60</c:f>
              <c:numCache>
                <c:formatCode>General</c:formatCode>
                <c:ptCount val="35"/>
                <c:pt idx="0">
                  <c:v>0.0</c:v>
                </c:pt>
                <c:pt idx="1">
                  <c:v>8.17093653924297E-5</c:v>
                </c:pt>
                <c:pt idx="2">
                  <c:v>0.000167650155891327</c:v>
                </c:pt>
                <c:pt idx="3">
                  <c:v>0.000258477365362393</c:v>
                </c:pt>
                <c:pt idx="4">
                  <c:v>0.000354898229901211</c:v>
                </c:pt>
                <c:pt idx="5">
                  <c:v>0.000457677995769516</c:v>
                </c:pt>
                <c:pt idx="6">
                  <c:v>0.000567646189176154</c:v>
                </c:pt>
                <c:pt idx="7">
                  <c:v>0.000685703436704773</c:v>
                </c:pt>
                <c:pt idx="8">
                  <c:v>0.000812828889412523</c:v>
                </c:pt>
                <c:pt idx="9">
                  <c:v>0.000950088308226492</c:v>
                </c:pt>
                <c:pt idx="10">
                  <c:v>0.00109864287327913</c:v>
                </c:pt>
                <c:pt idx="11">
                  <c:v>0.00125975878528474</c:v>
                </c:pt>
                <c:pt idx="12">
                  <c:v>0.00143481773300397</c:v>
                </c:pt>
                <c:pt idx="13">
                  <c:v>0.00162532830731195</c:v>
                </c:pt>
                <c:pt idx="14">
                  <c:v>0.00183293844942307</c:v>
                </c:pt>
                <c:pt idx="15">
                  <c:v>0.00205944902847794</c:v>
                </c:pt>
                <c:pt idx="16">
                  <c:v>0.00230682865201788</c:v>
                </c:pt>
                <c:pt idx="17">
                  <c:v>0.00257722982191491</c:v>
                </c:pt>
                <c:pt idx="18">
                  <c:v>0.0028730065581508</c:v>
                </c:pt>
                <c:pt idx="19">
                  <c:v>0.00319673362351275</c:v>
                </c:pt>
                <c:pt idx="20">
                  <c:v>0.00355122749386607</c:v>
                </c:pt>
                <c:pt idx="21">
                  <c:v>0.00393956923125254</c:v>
                </c:pt>
                <c:pt idx="22">
                  <c:v>0.00436512943072909</c:v>
                </c:pt>
                <c:pt idx="23">
                  <c:v>0.0048315954266947</c:v>
                </c:pt>
                <c:pt idx="24">
                  <c:v>0.00534300096055065</c:v>
                </c:pt>
                <c:pt idx="25">
                  <c:v>0.00590375852900402</c:v>
                </c:pt>
                <c:pt idx="26">
                  <c:v>0.006518694651271</c:v>
                </c:pt>
                <c:pt idx="27">
                  <c:v>0.00719308831398519</c:v>
                </c:pt>
                <c:pt idx="28">
                  <c:v>0.00793271287489968</c:v>
                </c:pt>
                <c:pt idx="29">
                  <c:v>0.00874388173063235</c:v>
                </c:pt>
                <c:pt idx="30">
                  <c:v>0.00963349807989434</c:v>
                </c:pt>
                <c:pt idx="31">
                  <c:v>0.0106091091420293</c:v>
                </c:pt>
                <c:pt idx="32">
                  <c:v>0.0116789652214537</c:v>
                </c:pt>
                <c:pt idx="33">
                  <c:v>0.0128520840419209</c:v>
                </c:pt>
                <c:pt idx="34">
                  <c:v>0.0141383208106404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9-43B6-B93E-E95AFE34F62E}"/>
            </c:ext>
          </c:extLst>
        </c:ser>
        <c:ser>
          <c:idx val="1"/>
          <c:order val="1"/>
          <c:tx>
            <c:strRef>
              <c:f>'MC1'!$D$24</c:f>
              <c:strCache>
                <c:ptCount val="1"/>
                <c:pt idx="0">
                  <c:v>After 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'MC1'!$A$26:$A$48</c:f>
              <c:numCache>
                <c:formatCode>0.000</c:formatCode>
                <c:ptCount val="23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</c:numCache>
            </c:numRef>
          </c:xVal>
          <c:yVal>
            <c:numRef>
              <c:f>'MC1'!$D$26:$D$48</c:f>
              <c:numCache>
                <c:formatCode>General</c:formatCode>
                <c:ptCount val="23"/>
                <c:pt idx="0">
                  <c:v>0.0</c:v>
                </c:pt>
                <c:pt idx="1">
                  <c:v>0.000178506472644748</c:v>
                </c:pt>
                <c:pt idx="2">
                  <c:v>0.000370036301537266</c:v>
                </c:pt>
                <c:pt idx="3">
                  <c:v>0.000577202774085008</c:v>
                </c:pt>
                <c:pt idx="4">
                  <c:v>0.000802914225897735</c:v>
                </c:pt>
                <c:pt idx="5">
                  <c:v>0.00105041739209558</c:v>
                </c:pt>
                <c:pt idx="6">
                  <c:v>0.00132334609677517</c:v>
                </c:pt>
                <c:pt idx="7">
                  <c:v>0.0016257759871435</c:v>
                </c:pt>
                <c:pt idx="8">
                  <c:v>0.00196228610570489</c:v>
                </c:pt>
                <c:pt idx="9">
                  <c:v>0.00233802819161064</c:v>
                </c:pt>
                <c:pt idx="10">
                  <c:v>0.00275880471215207</c:v>
                </c:pt>
                <c:pt idx="11">
                  <c:v>0.00323115674885022</c:v>
                </c:pt>
                <c:pt idx="12">
                  <c:v>0.00376246300129643</c:v>
                </c:pt>
                <c:pt idx="13">
                  <c:v>0.00436105132764622</c:v>
                </c:pt>
                <c:pt idx="14">
                  <c:v>0.00503632441550082</c:v>
                </c:pt>
                <c:pt idx="15">
                  <c:v>0.00579890137309824</c:v>
                </c:pt>
                <c:pt idx="16">
                  <c:v>0.00666077725082378</c:v>
                </c:pt>
                <c:pt idx="17">
                  <c:v>0.00763550274987571</c:v>
                </c:pt>
                <c:pt idx="18">
                  <c:v>0.0087383866516595</c:v>
                </c:pt>
                <c:pt idx="19">
                  <c:v>0.00998672381167433</c:v>
                </c:pt>
                <c:pt idx="20">
                  <c:v>0.0114000519092546</c:v>
                </c:pt>
                <c:pt idx="21">
                  <c:v>0.0130004405339509</c:v>
                </c:pt>
                <c:pt idx="22">
                  <c:v>0.0148128166255027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9-43B6-B93E-E95AFE34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132432"/>
        <c:axId val="1325114048"/>
      </c:scatterChart>
      <c:valAx>
        <c:axId val="132513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114048"/>
        <c:crosses val="autoZero"/>
        <c:crossBetween val="midCat"/>
      </c:valAx>
      <c:valAx>
        <c:axId val="132511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132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'MC1'!$N$25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'MC1'!$N$26:$O$26</c:f>
              <c:numCache>
                <c:formatCode>General</c:formatCode>
                <c:ptCount val="2"/>
                <c:pt idx="0">
                  <c:v>0.0513898829341524</c:v>
                </c:pt>
                <c:pt idx="1">
                  <c:v>0.12375158309892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DB-4621-8134-2ABEA729E8F0}"/>
            </c:ext>
          </c:extLst>
        </c:ser>
        <c:ser>
          <c:idx val="1"/>
          <c:order val="1"/>
          <c:tx>
            <c:strRef>
              <c:f>'MC1'!$O$25</c:f>
              <c:strCache>
                <c:ptCount val="1"/>
                <c:pt idx="0">
                  <c:v>After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'MC1'!$N$27:$O$27</c:f>
              <c:numCache>
                <c:formatCode>General</c:formatCode>
                <c:ptCount val="2"/>
                <c:pt idx="0">
                  <c:v>0.0742772825263169</c:v>
                </c:pt>
                <c:pt idx="1">
                  <c:v>0.210388260270712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CDB-4621-8134-2ABEA729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5093392"/>
        <c:axId val="1325096784"/>
        <c:axId val="0"/>
      </c:bar3DChart>
      <c:catAx>
        <c:axId val="1325093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96784"/>
        <c:crosses val="autoZero"/>
        <c:auto val="1"/>
        <c:lblAlgn val="ctr"/>
        <c:lblOffset val="100"/>
        <c:noMultiLvlLbl val="0"/>
      </c:catAx>
      <c:valAx>
        <c:axId val="13250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Tangent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9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158750</xdr:colOff>
      <xdr:row>2</xdr:row>
      <xdr:rowOff>0</xdr:rowOff>
    </xdr:from>
    <xdr:to>
      <xdr:col>7</xdr:col>
      <xdr:colOff>458932</xdr:colOff>
      <xdr:row>16</xdr:row>
      <xdr:rowOff>116609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429780</xdr:colOff>
      <xdr:row>2</xdr:row>
      <xdr:rowOff>0</xdr:rowOff>
    </xdr:from>
    <xdr:to>
      <xdr:col>16</xdr:col>
      <xdr:colOff>66098</xdr:colOff>
      <xdr:row>16</xdr:row>
      <xdr:rowOff>116609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3" max="3" width="8.83203125" customWidth="1"/>
    <col min="4" max="4" width="11.5" bestFit="1" customWidth="1"/>
    <col min="13" max="13" width="11.33203125" bestFit="1" customWidth="1"/>
  </cols>
  <sheetData>
    <row r="1" spans="1:17" ht="21" x14ac:dyDescent="0.25">
      <c r="A1" s="9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17" spans="1:15" x14ac:dyDescent="0.2">
      <c r="B17" t="s">
        <v>0</v>
      </c>
    </row>
    <row r="18" spans="1:15" x14ac:dyDescent="0.2">
      <c r="B18" s="5"/>
      <c r="C18" s="6" t="s">
        <v>1</v>
      </c>
      <c r="D18" s="6" t="s">
        <v>2</v>
      </c>
      <c r="E18" s="1"/>
      <c r="F18" s="1"/>
      <c r="G18" s="1"/>
      <c r="H18" s="1"/>
      <c r="I18" s="1"/>
      <c r="J18" s="1"/>
      <c r="K18" s="1"/>
    </row>
    <row r="19" spans="1:15" x14ac:dyDescent="0.2">
      <c r="B19" s="7" t="s">
        <v>3</v>
      </c>
      <c r="C19" s="8">
        <v>1.3299999999999999E-2</v>
      </c>
      <c r="D19" s="8">
        <v>2.8799999999999999E-2</v>
      </c>
    </row>
    <row r="20" spans="1:15" x14ac:dyDescent="0.2">
      <c r="B20" s="7" t="s">
        <v>4</v>
      </c>
      <c r="C20" s="8">
        <v>51.361699999999999</v>
      </c>
      <c r="D20" s="8">
        <v>67.620500000000007</v>
      </c>
    </row>
    <row r="21" spans="1:15" x14ac:dyDescent="0.2">
      <c r="B21" s="1"/>
      <c r="M21" t="s">
        <v>11</v>
      </c>
      <c r="N21">
        <f>O26/N26</f>
        <v>2.4080923332222253</v>
      </c>
    </row>
    <row r="22" spans="1:15" x14ac:dyDescent="0.2">
      <c r="B22" s="1"/>
      <c r="M22" t="s">
        <v>12</v>
      </c>
      <c r="N22">
        <f>O27/N27</f>
        <v>2.8324711555807189</v>
      </c>
    </row>
    <row r="24" spans="1:15" x14ac:dyDescent="0.2">
      <c r="C24" t="s">
        <v>1</v>
      </c>
      <c r="D24" t="s">
        <v>2</v>
      </c>
    </row>
    <row r="25" spans="1:15" ht="30" x14ac:dyDescent="0.2">
      <c r="A25" t="s">
        <v>8</v>
      </c>
      <c r="B25" s="2" t="s">
        <v>5</v>
      </c>
      <c r="C25" s="2" t="s">
        <v>6</v>
      </c>
      <c r="D25" s="2"/>
      <c r="M25" t="s">
        <v>7</v>
      </c>
      <c r="N25" t="s">
        <v>1</v>
      </c>
      <c r="O25" t="s">
        <v>2</v>
      </c>
    </row>
    <row r="26" spans="1:15" x14ac:dyDescent="0.2">
      <c r="A26" s="3">
        <f>B26-1</f>
        <v>0</v>
      </c>
      <c r="B26" s="3">
        <v>1</v>
      </c>
      <c r="C26">
        <v>0</v>
      </c>
      <c r="D26">
        <v>0</v>
      </c>
      <c r="M26" s="4" t="s">
        <v>9</v>
      </c>
      <c r="N26">
        <f>(C31-C30)/($B$31-$B$30)</f>
        <v>5.1389882934152441E-2</v>
      </c>
      <c r="O26">
        <f>(D31-D30)/($B$31-$B$30)</f>
        <v>0.12375158309892018</v>
      </c>
    </row>
    <row r="27" spans="1:15" x14ac:dyDescent="0.2">
      <c r="A27" s="3">
        <f t="shared" ref="A27:A60" si="0">B27-1</f>
        <v>2.0000000000000018E-3</v>
      </c>
      <c r="B27" s="3">
        <v>1.002</v>
      </c>
      <c r="C27">
        <f t="shared" ref="C27:C37" si="1">((2*C$19)/C$20)*($B27^(C$20-1)-$B27^(-1-C$20/2))</f>
        <v>8.1709365392429746E-5</v>
      </c>
      <c r="D27">
        <f t="shared" ref="D27:D37" si="2">((2*D$19)/D$20)*($B27^(D$20-1)-$B27^(-1-D$20/2))</f>
        <v>1.7850647264474847E-4</v>
      </c>
      <c r="M27" s="4" t="s">
        <v>10</v>
      </c>
      <c r="N27">
        <f>(C36-C35)/($B$36-$B$35)</f>
        <v>7.4277282526316865E-2</v>
      </c>
      <c r="O27">
        <f>(D36-D35)/($B$36-$B$35)</f>
        <v>0.21038826027071228</v>
      </c>
    </row>
    <row r="28" spans="1:15" x14ac:dyDescent="0.2">
      <c r="A28" s="3">
        <f t="shared" si="0"/>
        <v>4.0000000000000036E-3</v>
      </c>
      <c r="B28" s="3">
        <v>1.004</v>
      </c>
      <c r="C28">
        <f>((2*C$19)/C$20)*($B28^(C$20-1)-$B28^(-1-C$20/2))</f>
        <v>1.676501558913275E-4</v>
      </c>
      <c r="D28">
        <f t="shared" si="2"/>
        <v>3.700363015372662E-4</v>
      </c>
    </row>
    <row r="29" spans="1:15" x14ac:dyDescent="0.2">
      <c r="A29" s="3">
        <f t="shared" si="0"/>
        <v>6.0000000000000053E-3</v>
      </c>
      <c r="B29" s="3">
        <v>1.006</v>
      </c>
      <c r="C29">
        <f t="shared" si="1"/>
        <v>2.5847736536239313E-4</v>
      </c>
      <c r="D29">
        <f t="shared" si="2"/>
        <v>5.7720277408500841E-4</v>
      </c>
    </row>
    <row r="30" spans="1:15" x14ac:dyDescent="0.2">
      <c r="A30" s="3">
        <f t="shared" si="0"/>
        <v>8.0000000000000071E-3</v>
      </c>
      <c r="B30" s="3">
        <v>1.008</v>
      </c>
      <c r="C30">
        <f t="shared" si="1"/>
        <v>3.548982299012116E-4</v>
      </c>
      <c r="D30">
        <f t="shared" si="2"/>
        <v>8.0291422589773558E-4</v>
      </c>
    </row>
    <row r="31" spans="1:15" x14ac:dyDescent="0.2">
      <c r="A31" s="3">
        <f t="shared" si="0"/>
        <v>1.0000000000000009E-2</v>
      </c>
      <c r="B31" s="3">
        <v>1.01</v>
      </c>
      <c r="C31">
        <f t="shared" si="1"/>
        <v>4.5767799576951657E-4</v>
      </c>
      <c r="D31">
        <f t="shared" si="2"/>
        <v>1.0504173920955762E-3</v>
      </c>
    </row>
    <row r="32" spans="1:15" x14ac:dyDescent="0.2">
      <c r="A32" s="3">
        <f t="shared" si="0"/>
        <v>1.2000000000000011E-2</v>
      </c>
      <c r="B32" s="3">
        <v>1.012</v>
      </c>
      <c r="C32">
        <f t="shared" si="1"/>
        <v>5.6764618917615401E-4</v>
      </c>
      <c r="D32">
        <f t="shared" si="2"/>
        <v>1.3233460967751703E-3</v>
      </c>
    </row>
    <row r="33" spans="1:4" x14ac:dyDescent="0.2">
      <c r="A33" s="3">
        <f t="shared" si="0"/>
        <v>1.4000000000000012E-2</v>
      </c>
      <c r="B33" s="3">
        <v>1.014</v>
      </c>
      <c r="C33">
        <f t="shared" si="1"/>
        <v>6.8570343670477354E-4</v>
      </c>
      <c r="D33">
        <f t="shared" si="2"/>
        <v>1.6257759871435018E-3</v>
      </c>
    </row>
    <row r="34" spans="1:4" x14ac:dyDescent="0.2">
      <c r="A34" s="3">
        <f t="shared" si="0"/>
        <v>1.6000000000000014E-2</v>
      </c>
      <c r="B34" s="3">
        <v>1.016</v>
      </c>
      <c r="C34">
        <f t="shared" si="1"/>
        <v>8.1282888941252315E-4</v>
      </c>
      <c r="D34">
        <f t="shared" si="2"/>
        <v>1.962286105704892E-3</v>
      </c>
    </row>
    <row r="35" spans="1:4" x14ac:dyDescent="0.2">
      <c r="A35" s="3">
        <f t="shared" si="0"/>
        <v>1.8000000000000016E-2</v>
      </c>
      <c r="B35" s="3">
        <v>1.018</v>
      </c>
      <c r="C35">
        <f t="shared" si="1"/>
        <v>9.5008830822649281E-4</v>
      </c>
      <c r="D35">
        <f t="shared" si="2"/>
        <v>2.338028191610643E-3</v>
      </c>
    </row>
    <row r="36" spans="1:4" x14ac:dyDescent="0.2">
      <c r="A36" s="3">
        <f t="shared" si="0"/>
        <v>2.0000000000000018E-2</v>
      </c>
      <c r="B36" s="3">
        <v>1.02</v>
      </c>
      <c r="C36">
        <f>((2*C$19)/C$20)*($B36^(C$20-1)-$B36^(-1-C$20/2))</f>
        <v>1.0986428732791267E-3</v>
      </c>
      <c r="D36">
        <f t="shared" si="2"/>
        <v>2.7588047121520679E-3</v>
      </c>
    </row>
    <row r="37" spans="1:4" x14ac:dyDescent="0.2">
      <c r="A37" s="3">
        <f t="shared" si="0"/>
        <v>2.200000000000002E-2</v>
      </c>
      <c r="B37" s="3">
        <v>1.022</v>
      </c>
      <c r="C37">
        <f t="shared" si="1"/>
        <v>1.2597587852847412E-3</v>
      </c>
      <c r="D37">
        <f t="shared" si="2"/>
        <v>3.2311567488502251E-3</v>
      </c>
    </row>
    <row r="38" spans="1:4" x14ac:dyDescent="0.2">
      <c r="A38" s="3">
        <f t="shared" si="0"/>
        <v>2.4000000000000021E-2</v>
      </c>
      <c r="B38" s="3">
        <v>1.024</v>
      </c>
      <c r="C38">
        <f t="shared" ref="C38:D68" si="3">((2*C$19)/C$20)*($B38^(C$20-1)-$B38^(-1-C$20/2))</f>
        <v>1.4348177330039732E-3</v>
      </c>
      <c r="D38">
        <f t="shared" si="3"/>
        <v>3.7624630012964263E-3</v>
      </c>
    </row>
    <row r="39" spans="1:4" x14ac:dyDescent="0.2">
      <c r="A39" s="3">
        <f t="shared" si="0"/>
        <v>2.6000000000000023E-2</v>
      </c>
      <c r="B39" s="3">
        <v>1.026</v>
      </c>
      <c r="C39">
        <f t="shared" si="3"/>
        <v>1.6253283073119514E-3</v>
      </c>
      <c r="D39">
        <f t="shared" si="3"/>
        <v>4.3610513276462195E-3</v>
      </c>
    </row>
    <row r="40" spans="1:4" x14ac:dyDescent="0.2">
      <c r="A40" s="3">
        <f t="shared" si="0"/>
        <v>2.8000000000000025E-2</v>
      </c>
      <c r="B40" s="3">
        <v>1.028</v>
      </c>
      <c r="C40">
        <f t="shared" si="3"/>
        <v>1.8329384494230722E-3</v>
      </c>
      <c r="D40">
        <f t="shared" si="3"/>
        <v>5.0363244155008239E-3</v>
      </c>
    </row>
    <row r="41" spans="1:4" x14ac:dyDescent="0.2">
      <c r="A41" s="3">
        <f t="shared" si="0"/>
        <v>3.0000000000000027E-2</v>
      </c>
      <c r="B41" s="3">
        <v>1.03</v>
      </c>
      <c r="C41">
        <f t="shared" si="3"/>
        <v>2.0594490284779406E-3</v>
      </c>
      <c r="D41">
        <f t="shared" si="3"/>
        <v>5.7989013730982454E-3</v>
      </c>
    </row>
    <row r="42" spans="1:4" x14ac:dyDescent="0.2">
      <c r="A42" s="3">
        <f t="shared" si="0"/>
        <v>3.2000000000000028E-2</v>
      </c>
      <c r="B42" s="3">
        <v>1.032</v>
      </c>
      <c r="C42">
        <f t="shared" si="3"/>
        <v>2.3068286520178788E-3</v>
      </c>
      <c r="D42">
        <f t="shared" si="3"/>
        <v>6.6607772508237772E-3</v>
      </c>
    </row>
    <row r="43" spans="1:4" x14ac:dyDescent="0.2">
      <c r="A43" s="3">
        <f t="shared" si="0"/>
        <v>3.400000000000003E-2</v>
      </c>
      <c r="B43" s="3">
        <v>1.034</v>
      </c>
      <c r="C43">
        <f t="shared" si="3"/>
        <v>2.5772298219149089E-3</v>
      </c>
      <c r="D43">
        <f t="shared" si="3"/>
        <v>7.6355027498757116E-3</v>
      </c>
    </row>
    <row r="44" spans="1:4" x14ac:dyDescent="0.2">
      <c r="A44" s="3">
        <f t="shared" si="0"/>
        <v>3.6000000000000032E-2</v>
      </c>
      <c r="B44" s="3">
        <v>1.036</v>
      </c>
      <c r="C44">
        <f t="shared" si="3"/>
        <v>2.8730065581508025E-3</v>
      </c>
      <c r="D44">
        <f t="shared" si="3"/>
        <v>8.7383866516595049E-3</v>
      </c>
    </row>
    <row r="45" spans="1:4" x14ac:dyDescent="0.2">
      <c r="A45" s="3">
        <f t="shared" si="0"/>
        <v>3.8000000000000034E-2</v>
      </c>
      <c r="B45" s="3">
        <v>1.038</v>
      </c>
      <c r="C45">
        <f t="shared" si="3"/>
        <v>3.1967336235127538E-3</v>
      </c>
      <c r="D45">
        <f t="shared" si="3"/>
        <v>9.9867238116743296E-3</v>
      </c>
    </row>
    <row r="46" spans="1:4" x14ac:dyDescent="0.2">
      <c r="A46" s="3">
        <f t="shared" si="0"/>
        <v>4.0000000000000036E-2</v>
      </c>
      <c r="B46" s="3">
        <v>1.04</v>
      </c>
      <c r="C46">
        <f t="shared" si="3"/>
        <v>3.5512274938660723E-3</v>
      </c>
      <c r="D46">
        <f t="shared" si="3"/>
        <v>1.1400051909254649E-2</v>
      </c>
    </row>
    <row r="47" spans="1:4" x14ac:dyDescent="0.2">
      <c r="A47" s="3">
        <f t="shared" si="0"/>
        <v>4.2000000000000037E-2</v>
      </c>
      <c r="B47" s="3">
        <v>1.042</v>
      </c>
      <c r="C47">
        <f t="shared" si="3"/>
        <v>3.9395692312525418E-3</v>
      </c>
      <c r="D47">
        <f t="shared" si="3"/>
        <v>1.3000440533950936E-2</v>
      </c>
    </row>
    <row r="48" spans="1:4" x14ac:dyDescent="0.2">
      <c r="A48" s="3">
        <f t="shared" si="0"/>
        <v>4.4000000000000039E-2</v>
      </c>
      <c r="B48" s="3">
        <v>1.044</v>
      </c>
      <c r="C48">
        <f t="shared" si="3"/>
        <v>4.3651294307290867E-3</v>
      </c>
      <c r="D48">
        <f t="shared" si="3"/>
        <v>1.4812816625502741E-2</v>
      </c>
    </row>
    <row r="49" spans="1:4" x14ac:dyDescent="0.2">
      <c r="A49" s="3">
        <f t="shared" si="0"/>
        <v>4.6000000000000041E-2</v>
      </c>
      <c r="B49" s="3">
        <v>1.046</v>
      </c>
      <c r="C49">
        <f t="shared" si="3"/>
        <v>4.8315954266947049E-3</v>
      </c>
      <c r="D49">
        <f t="shared" si="3"/>
        <v>1.686533077277114E-2</v>
      </c>
    </row>
    <row r="50" spans="1:4" x14ac:dyDescent="0.2">
      <c r="A50" s="3">
        <f t="shared" si="0"/>
        <v>4.8000000000000043E-2</v>
      </c>
      <c r="B50" s="3">
        <v>1.048</v>
      </c>
      <c r="C50">
        <f t="shared" si="3"/>
        <v>5.3430009605506543E-3</v>
      </c>
      <c r="D50">
        <f t="shared" si="3"/>
        <v>1.9189769423784499E-2</v>
      </c>
    </row>
    <row r="51" spans="1:4" x14ac:dyDescent="0.2">
      <c r="A51" s="3">
        <f t="shared" si="0"/>
        <v>5.0000000000000044E-2</v>
      </c>
      <c r="B51" s="3">
        <v>1.05</v>
      </c>
      <c r="C51">
        <f t="shared" si="3"/>
        <v>5.9037585290040249E-3</v>
      </c>
      <c r="D51">
        <f t="shared" si="3"/>
        <v>2.1822018671049263E-2</v>
      </c>
    </row>
    <row r="52" spans="1:4" x14ac:dyDescent="0.2">
      <c r="A52" s="3">
        <f t="shared" si="0"/>
        <v>5.2000000000000046E-2</v>
      </c>
      <c r="B52" s="3">
        <v>1.052</v>
      </c>
      <c r="C52">
        <f t="shared" si="3"/>
        <v>6.518694651271007E-3</v>
      </c>
      <c r="D52">
        <f t="shared" si="3"/>
        <v>2.4802585961105777E-2</v>
      </c>
    </row>
    <row r="53" spans="1:4" x14ac:dyDescent="0.2">
      <c r="A53" s="3">
        <f t="shared" si="0"/>
        <v>5.4000000000000048E-2</v>
      </c>
      <c r="B53" s="3">
        <v>1.054</v>
      </c>
      <c r="C53">
        <f t="shared" si="3"/>
        <v>7.1930883139851914E-3</v>
      </c>
      <c r="D53">
        <f t="shared" si="3"/>
        <v>2.8177186843466515E-2</v>
      </c>
    </row>
    <row r="54" spans="1:4" x14ac:dyDescent="0.2">
      <c r="A54" s="3">
        <f t="shared" si="0"/>
        <v>5.600000000000005E-2</v>
      </c>
      <c r="B54" s="3">
        <v>1.056</v>
      </c>
      <c r="C54">
        <f t="shared" si="3"/>
        <v>7.9327128748996802E-3</v>
      </c>
      <c r="D54">
        <f t="shared" si="3"/>
        <v>3.1997404731025532E-2</v>
      </c>
    </row>
    <row r="55" spans="1:4" x14ac:dyDescent="0.2">
      <c r="A55" s="3">
        <f t="shared" si="0"/>
        <v>5.8000000000000052E-2</v>
      </c>
      <c r="B55" s="3">
        <v>1.0580000000000001</v>
      </c>
      <c r="C55">
        <f t="shared" si="3"/>
        <v>8.7438817306323552E-3</v>
      </c>
      <c r="D55">
        <f t="shared" si="3"/>
        <v>3.6321432602326773E-2</v>
      </c>
    </row>
    <row r="56" spans="1:4" x14ac:dyDescent="0.2">
      <c r="A56" s="3">
        <f t="shared" si="0"/>
        <v>6.0000000000000053E-2</v>
      </c>
      <c r="B56" s="3">
        <v>1.06</v>
      </c>
      <c r="C56">
        <f t="shared" si="3"/>
        <v>9.6334980798943454E-3</v>
      </c>
      <c r="D56">
        <f t="shared" si="3"/>
        <v>4.1214906647474701E-2</v>
      </c>
    </row>
    <row r="57" spans="1:4" x14ac:dyDescent="0.2">
      <c r="A57" s="3">
        <f t="shared" si="0"/>
        <v>6.2000000000000055E-2</v>
      </c>
      <c r="B57" s="3">
        <v>1.0620000000000001</v>
      </c>
      <c r="C57">
        <f t="shared" si="3"/>
        <v>1.06091091420293E-2</v>
      </c>
      <c r="D57">
        <f t="shared" si="3"/>
        <v>4.6751843057054647E-2</v>
      </c>
    </row>
    <row r="58" spans="1:4" x14ac:dyDescent="0.2">
      <c r="A58" s="3">
        <f t="shared" si="0"/>
        <v>6.4000000000000057E-2</v>
      </c>
      <c r="B58" s="3">
        <v>1.0640000000000001</v>
      </c>
      <c r="C58">
        <f t="shared" si="3"/>
        <v>1.167896522145374E-2</v>
      </c>
      <c r="D58">
        <f t="shared" si="3"/>
        <v>5.3015690491776193E-2</v>
      </c>
    </row>
    <row r="59" spans="1:4" x14ac:dyDescent="0.2">
      <c r="A59" s="3">
        <f t="shared" si="0"/>
        <v>6.6000000000000059E-2</v>
      </c>
      <c r="B59" s="3">
        <v>1.0660000000000001</v>
      </c>
      <c r="C59">
        <f t="shared" si="3"/>
        <v>1.285208404192092E-2</v>
      </c>
      <c r="D59">
        <f t="shared" si="3"/>
        <v>6.010051226589011E-2</v>
      </c>
    </row>
    <row r="60" spans="1:4" x14ac:dyDescent="0.2">
      <c r="A60" s="3">
        <f t="shared" si="0"/>
        <v>6.800000000000006E-2</v>
      </c>
      <c r="B60" s="3">
        <v>1.0680000000000001</v>
      </c>
      <c r="C60">
        <f t="shared" si="3"/>
        <v>1.413832081064036E-2</v>
      </c>
      <c r="D60">
        <f t="shared" si="3"/>
        <v>6.8112313947814931E-2</v>
      </c>
    </row>
    <row r="61" spans="1:4" x14ac:dyDescent="0.2">
      <c r="A61" s="3">
        <f t="shared" ref="A61:A68" si="4">B61-1</f>
        <v>7.0000000000000062E-2</v>
      </c>
      <c r="B61" s="3">
        <v>1.07</v>
      </c>
      <c r="C61">
        <f t="shared" si="3"/>
        <v>1.5548444511397991E-2</v>
      </c>
      <c r="D61">
        <f t="shared" si="3"/>
        <v>7.7170533946948991E-2</v>
      </c>
    </row>
    <row r="62" spans="1:4" x14ac:dyDescent="0.2">
      <c r="A62" s="3">
        <f t="shared" si="4"/>
        <v>7.2000000000000064E-2</v>
      </c>
      <c r="B62" s="3">
        <v>1.0720000000000001</v>
      </c>
      <c r="C62">
        <f t="shared" si="3"/>
        <v>1.7094220968181199E-2</v>
      </c>
      <c r="D62">
        <f t="shared" si="3"/>
        <v>8.7409716738694285E-2</v>
      </c>
    </row>
    <row r="63" spans="1:4" x14ac:dyDescent="0.2">
      <c r="A63" s="3">
        <f t="shared" si="4"/>
        <v>7.4000000000000066E-2</v>
      </c>
      <c r="B63" s="3">
        <v>1.0740000000000001</v>
      </c>
      <c r="C63">
        <f t="shared" si="3"/>
        <v>1.8788503266680637E-2</v>
      </c>
      <c r="D63">
        <f t="shared" si="3"/>
        <v>9.8981390705162139E-2</v>
      </c>
    </row>
    <row r="64" spans="1:4" x14ac:dyDescent="0.2">
      <c r="A64" s="3">
        <f t="shared" si="4"/>
        <v>7.6000000000000068E-2</v>
      </c>
      <c r="B64" s="3">
        <v>1.0760000000000001</v>
      </c>
      <c r="C64">
        <f t="shared" si="3"/>
        <v>2.0645330170700339E-2</v>
      </c>
      <c r="D64">
        <f t="shared" si="3"/>
        <v>0.11205617516453314</v>
      </c>
    </row>
    <row r="65" spans="1:4" x14ac:dyDescent="0.2">
      <c r="A65" s="3">
        <f t="shared" si="4"/>
        <v>7.8000000000000069E-2</v>
      </c>
      <c r="B65" s="3">
        <v>1.0780000000000001</v>
      </c>
      <c r="C65">
        <f t="shared" si="3"/>
        <v>2.2680033224263315E-2</v>
      </c>
      <c r="D65">
        <f t="shared" si="3"/>
        <v>0.12682614405836509</v>
      </c>
    </row>
    <row r="66" spans="1:4" x14ac:dyDescent="0.2">
      <c r="A66" s="3">
        <f t="shared" si="4"/>
        <v>8.0000000000000071E-2</v>
      </c>
      <c r="B66" s="3">
        <v>1.08</v>
      </c>
      <c r="C66">
        <f t="shared" si="3"/>
        <v>2.4909353288382827E-2</v>
      </c>
      <c r="D66">
        <f t="shared" si="3"/>
        <v>0.14350747699749725</v>
      </c>
    </row>
    <row r="67" spans="1:4" x14ac:dyDescent="0.2">
      <c r="A67" s="3">
        <f t="shared" si="4"/>
        <v>8.2000000000000073E-2</v>
      </c>
      <c r="B67" s="3">
        <v>1.0820000000000001</v>
      </c>
      <c r="C67">
        <f t="shared" si="3"/>
        <v>2.7351567324431735E-2</v>
      </c>
      <c r="D67">
        <f t="shared" si="3"/>
        <v>0.16234343197158416</v>
      </c>
    </row>
    <row r="68" spans="1:4" x14ac:dyDescent="0.2">
      <c r="A68" s="3">
        <f t="shared" si="4"/>
        <v>8.4000000000000075E-2</v>
      </c>
      <c r="B68" s="3">
        <v>1.0840000000000001</v>
      </c>
      <c r="C68">
        <f t="shared" si="3"/>
        <v>3.0026626304169964E-2</v>
      </c>
      <c r="D68">
        <f t="shared" si="3"/>
        <v>0.18360767804697709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2020-10-19T00:40:45Z</dcterms:modified>
  <cp:category/>
  <cp:contentStatus/>
</cp:coreProperties>
</file>