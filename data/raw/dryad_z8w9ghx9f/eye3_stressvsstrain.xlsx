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19320" windowHeight="1418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0" i="1" l="1"/>
  <c r="A52" i="1"/>
  <c r="A53" i="1"/>
  <c r="A54" i="1"/>
  <c r="A55" i="1"/>
  <c r="A56" i="1"/>
  <c r="A57" i="1"/>
  <c r="A58" i="1"/>
  <c r="A59" i="1"/>
  <c r="A60" i="1"/>
  <c r="A6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D51" i="1"/>
  <c r="C50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6" i="1"/>
  <c r="D31" i="1"/>
  <c r="D30" i="1"/>
  <c r="O26" i="1"/>
  <c r="C31" i="1"/>
  <c r="N26" i="1"/>
  <c r="N21" i="1"/>
  <c r="C36" i="1"/>
  <c r="C35" i="1"/>
  <c r="N27" i="1"/>
  <c r="D36" i="1"/>
  <c r="D35" i="1"/>
  <c r="O27" i="1"/>
  <c r="N22" i="1"/>
  <c r="D27" i="1"/>
  <c r="D28" i="1"/>
  <c r="D29" i="1"/>
  <c r="D32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27" i="1"/>
  <c r="C29" i="1"/>
  <c r="C28" i="1"/>
  <c r="C32" i="1"/>
  <c r="C33" i="1"/>
  <c r="C34" i="1"/>
  <c r="C37" i="1"/>
</calcChain>
</file>

<file path=xl/sharedStrings.xml><?xml version="1.0" encoding="utf-8"?>
<sst xmlns="http://schemas.openxmlformats.org/spreadsheetml/2006/main" count="16" uniqueCount="12">
  <si>
    <t>Mlim</t>
  </si>
  <si>
    <t>Before</t>
  </si>
  <si>
    <t xml:space="preserve">After </t>
  </si>
  <si>
    <t>Mu1</t>
  </si>
  <si>
    <t>Alpha1</t>
  </si>
  <si>
    <t>E Ratio at 1%</t>
  </si>
  <si>
    <t>E Ratio at 2%</t>
  </si>
  <si>
    <t>Stretch
(lambda)</t>
  </si>
  <si>
    <t>Stress
(MPa)</t>
  </si>
  <si>
    <t>E tangent</t>
  </si>
  <si>
    <t>strain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</si>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</sst>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960784"/>
        <c:axId val="1230962560"/>
      </c:scatterChart>
      <c:valAx>
        <c:axId val="1230960784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230962560"/>
        <c:crosses val="autoZero"/>
        <c:crossBetween val="midCat"/>
      </c:valAx>
      <c:valAx>
        <c:axId val="123096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0960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'MC1'!$A$26:$A$60</c:f>
              <c:numCache>
                <c:formatCode>0.000</c:formatCode>
                <c:ptCount val="35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  <c:pt idx="27">
                  <c:v>0.054</c:v>
                </c:pt>
                <c:pt idx="28">
                  <c:v>0.056</c:v>
                </c:pt>
                <c:pt idx="29">
                  <c:v>0.058</c:v>
                </c:pt>
                <c:pt idx="30">
                  <c:v>0.06</c:v>
                </c:pt>
                <c:pt idx="31">
                  <c:v>0.062</c:v>
                </c:pt>
                <c:pt idx="32">
                  <c:v>0.064</c:v>
                </c:pt>
                <c:pt idx="33">
                  <c:v>0.066</c:v>
                </c:pt>
                <c:pt idx="34">
                  <c:v>0.068</c:v>
                </c:pt>
              </c:numCache>
            </c:numRef>
          </c:xVal>
          <c:yVal>
            <c:numRef>
              <c:f>'MC1'!$C$26:$C$60</c:f>
              <c:numCache>
                <c:formatCode>General</c:formatCode>
                <c:ptCount val="35"/>
                <c:pt idx="0">
                  <c:v>0.0</c:v>
                </c:pt>
                <c:pt idx="1">
                  <c:v>0.000563124183761046</c:v>
                </c:pt>
                <c:pt idx="2">
                  <c:v>0.00116512400465885</c:v>
                </c:pt>
                <c:pt idx="3">
                  <c:v>0.00181347816217671</c:v>
                </c:pt>
                <c:pt idx="4">
                  <c:v>0.00251646419635188</c:v>
                </c:pt>
                <c:pt idx="5">
                  <c:v>0.00328327052910396</c:v>
                </c:pt>
                <c:pt idx="6">
                  <c:v>0.00412412156394318</c:v>
                </c:pt>
                <c:pt idx="7">
                  <c:v>0.00505041748817694</c:v>
                </c:pt>
                <c:pt idx="8">
                  <c:v>0.00607489061301566</c:v>
                </c:pt>
                <c:pt idx="9">
                  <c:v>0.00721178030092246</c:v>
                </c:pt>
                <c:pt idx="10">
                  <c:v>0.0084770287687194</c:v>
                </c:pt>
                <c:pt idx="11">
                  <c:v>0.00988850032221128</c:v>
                </c:pt>
                <c:pt idx="12">
                  <c:v>0.011466226876591</c:v>
                </c:pt>
                <c:pt idx="13">
                  <c:v>0.0132326829501796</c:v>
                </c:pt>
                <c:pt idx="14">
                  <c:v>0.0152130936910584</c:v>
                </c:pt>
                <c:pt idx="15">
                  <c:v>0.0174357799112248</c:v>
                </c:pt>
                <c:pt idx="16">
                  <c:v>0.0199325445659165</c:v>
                </c:pt>
                <c:pt idx="17">
                  <c:v>0.0227391056320591</c:v>
                </c:pt>
                <c:pt idx="18">
                  <c:v>0.0258955809154131</c:v>
                </c:pt>
                <c:pt idx="19">
                  <c:v>0.0294470309575499</c:v>
                </c:pt>
                <c:pt idx="20">
                  <c:v>0.0334440669286568</c:v>
                </c:pt>
                <c:pt idx="21">
                  <c:v>0.0379435311885438</c:v>
                </c:pt>
                <c:pt idx="22">
                  <c:v>0.0430092590851823</c:v>
                </c:pt>
                <c:pt idx="23">
                  <c:v>0.0487129315477191</c:v>
                </c:pt>
                <c:pt idx="24">
                  <c:v>0.0551350291303665</c:v>
                </c:pt>
                <c:pt idx="25">
                  <c:v>0.0623658993872506</c:v>
                </c:pt>
                <c:pt idx="26">
                  <c:v>0.0705069508199551</c:v>
                </c:pt>
                <c:pt idx="27">
                  <c:v>0.0796719881543563</c:v>
                </c:pt>
                <c:pt idx="28">
                  <c:v>0.0899887053882823</c:v>
                </c:pt>
                <c:pt idx="29">
                  <c:v>0.101600354925251</c:v>
                </c:pt>
                <c:pt idx="30">
                  <c:v>0.114667613192768</c:v>
                </c:pt>
                <c:pt idx="31">
                  <c:v>0.129370665459346</c:v>
                </c:pt>
                <c:pt idx="32">
                  <c:v>0.145911535137926</c:v>
                </c:pt>
                <c:pt idx="33">
                  <c:v>0.164516685722941</c:v>
                </c:pt>
                <c:pt idx="34">
                  <c:v>0.185439926684896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'MC1'!$A$26:$A$52</c:f>
              <c:numCache>
                <c:formatCode>0.000</c:formatCode>
                <c:ptCount val="27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</c:numCache>
            </c:numRef>
          </c:xVal>
          <c:yVal>
            <c:numRef>
              <c:f>'MC1'!$D$26:$D$52</c:f>
              <c:numCache>
                <c:formatCode>General</c:formatCode>
                <c:ptCount val="27"/>
                <c:pt idx="0">
                  <c:v>0.0</c:v>
                </c:pt>
                <c:pt idx="1">
                  <c:v>0.00078675651375194</c:v>
                </c:pt>
                <c:pt idx="2">
                  <c:v>0.00164539325362083</c:v>
                </c:pt>
                <c:pt idx="3">
                  <c:v>0.00259304666347138</c:v>
                </c:pt>
                <c:pt idx="4">
                  <c:v>0.00364927275310955</c:v>
                </c:pt>
                <c:pt idx="5">
                  <c:v>0.00483647707666136</c:v>
                </c:pt>
                <c:pt idx="6">
                  <c:v>0.0061804107224988</c:v>
                </c:pt>
                <c:pt idx="7">
                  <c:v>0.00771074302166017</c:v>
                </c:pt>
                <c:pt idx="8">
                  <c:v>0.00946172332438386</c:v>
                </c:pt>
                <c:pt idx="9">
                  <c:v>0.0114729460909212</c:v>
                </c:pt>
                <c:pt idx="10">
                  <c:v>0.0137902357312858</c:v>
                </c:pt>
                <c:pt idx="11">
                  <c:v>0.0164666701527718</c:v>
                </c:pt>
                <c:pt idx="12">
                  <c:v>0.0195637648841568</c:v>
                </c:pt>
                <c:pt idx="13">
                  <c:v>0.0231528429991667</c:v>
                </c:pt>
                <c:pt idx="14">
                  <c:v>0.0273166199251824</c:v>
                </c:pt>
                <c:pt idx="15">
                  <c:v>0.0321510366722527</c:v>
                </c:pt>
                <c:pt idx="16">
                  <c:v>0.0377673801393019</c:v>
                </c:pt>
                <c:pt idx="17">
                  <c:v>0.04429473504884</c:v>
                </c:pt>
                <c:pt idx="18">
                  <c:v>0.0518828188429364</c:v>
                </c:pt>
                <c:pt idx="19">
                  <c:v>0.060705258672852</c:v>
                </c:pt>
                <c:pt idx="20">
                  <c:v>0.0709633785827763</c:v>
                </c:pt>
                <c:pt idx="21">
                  <c:v>0.0828905752966666</c:v>
                </c:pt>
                <c:pt idx="22">
                  <c:v>0.0967573728632461</c:v>
                </c:pt>
                <c:pt idx="23">
                  <c:v>0.112877260023318</c:v>
                </c:pt>
                <c:pt idx="24">
                  <c:v>0.131613429793778</c:v>
                </c:pt>
                <c:pt idx="25">
                  <c:v>0.153386558709331</c:v>
                </c:pt>
                <c:pt idx="26">
                  <c:v>0.178683783763645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113600"/>
        <c:axId val="1269474032"/>
      </c:scatterChart>
      <c:valAx>
        <c:axId val="132211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74032"/>
        <c:crosses val="autoZero"/>
        <c:crossBetween val="midCat"/>
      </c:valAx>
      <c:valAx>
        <c:axId val="12694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11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0.383403166376037</c:v>
                </c:pt>
                <c:pt idx="1">
                  <c:v>0.593602161775905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0.632624233898471</c:v>
                </c:pt>
                <c:pt idx="1">
                  <c:v>1.158644820182319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5710112"/>
        <c:axId val="1345615824"/>
        <c:axId val="0"/>
      </c:bar3DChart>
      <c:catAx>
        <c:axId val="124571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615824"/>
        <c:crosses val="autoZero"/>
        <c:auto val="1"/>
        <c:lblAlgn val="ctr"/>
        <c:lblOffset val="100"/>
        <c:noMultiLvlLbl val="0"/>
      </c:catAx>
      <c:valAx>
        <c:axId val="13456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7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</xdr:row>
      <xdr:rowOff>0</xdr:rowOff>
    </xdr:from>
    <xdr:to>
      <xdr:col>7</xdr:col>
      <xdr:colOff>458932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275648</xdr:colOff>
      <xdr:row>2</xdr:row>
      <xdr:rowOff>28287</xdr:rowOff>
    </xdr:from>
    <xdr:to>
      <xdr:col>15</xdr:col>
      <xdr:colOff>590261</xdr:colOff>
      <xdr:row>16</xdr:row>
      <xdr:rowOff>144896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abSelected="1" zoomScale="88" zoomScaleNormal="116" zoomScalePageLayoutView="116" workbookViewId="0">
      <selection sqref="A1:Q1"/>
    </sheetView>
  </sheetViews>
  <sheetFormatPr baseColWidth="10" defaultColWidth="8.83203125" defaultRowHeight="15" x14ac:dyDescent="0.2"/>
  <cols>
    <col min="4" max="4" width="11.5" bestFit="1" customWidth="1"/>
    <col min="13" max="13" width="11.33203125" bestFit="1" customWidth="1"/>
  </cols>
  <sheetData>
    <row r="1" spans="1:17" ht="21" x14ac:dyDescent="0.25">
      <c r="A1" s="9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17" spans="1:15" x14ac:dyDescent="0.2">
      <c r="B17" t="s">
        <v>0</v>
      </c>
    </row>
    <row r="18" spans="1:15" x14ac:dyDescent="0.2">
      <c r="B18" s="5"/>
      <c r="C18" s="6" t="s">
        <v>1</v>
      </c>
      <c r="D18" s="6" t="s">
        <v>2</v>
      </c>
      <c r="E18" s="1"/>
      <c r="F18" s="1"/>
      <c r="G18" s="1"/>
      <c r="H18" s="1"/>
      <c r="I18" s="1"/>
      <c r="J18" s="1"/>
      <c r="K18" s="1"/>
    </row>
    <row r="19" spans="1:15" x14ac:dyDescent="0.2">
      <c r="B19" s="7" t="s">
        <v>3</v>
      </c>
      <c r="C19" s="8">
        <v>9.0999999999999998E-2</v>
      </c>
      <c r="D19" s="8">
        <v>0.126</v>
      </c>
    </row>
    <row r="20" spans="1:15" x14ac:dyDescent="0.2">
      <c r="B20" s="7" t="s">
        <v>4</v>
      </c>
      <c r="C20" s="8">
        <v>64.69</v>
      </c>
      <c r="D20" s="8">
        <v>80.930000000000007</v>
      </c>
    </row>
    <row r="21" spans="1:15" x14ac:dyDescent="0.2">
      <c r="B21" s="1"/>
      <c r="M21" t="s">
        <v>5</v>
      </c>
      <c r="N21">
        <f>O26/N26</f>
        <v>1.5482453298095784</v>
      </c>
    </row>
    <row r="22" spans="1:15" x14ac:dyDescent="0.2">
      <c r="B22" s="1"/>
      <c r="M22" t="s">
        <v>6</v>
      </c>
      <c r="N22">
        <f>O27/N27</f>
        <v>1.8314897819236369</v>
      </c>
    </row>
    <row r="24" spans="1:15" x14ac:dyDescent="0.2">
      <c r="C24" t="s">
        <v>1</v>
      </c>
      <c r="D24" t="s">
        <v>2</v>
      </c>
    </row>
    <row r="25" spans="1:15" ht="30" x14ac:dyDescent="0.2">
      <c r="A25" t="s">
        <v>10</v>
      </c>
      <c r="B25" s="2" t="s">
        <v>7</v>
      </c>
      <c r="C25" s="2" t="s">
        <v>8</v>
      </c>
      <c r="D25" s="2"/>
      <c r="M25" t="s">
        <v>9</v>
      </c>
      <c r="N25" t="s">
        <v>1</v>
      </c>
      <c r="O25" t="s">
        <v>2</v>
      </c>
    </row>
    <row r="26" spans="1:15" x14ac:dyDescent="0.2">
      <c r="A26" s="3">
        <f>B26-1</f>
        <v>0</v>
      </c>
      <c r="B26" s="3">
        <v>1</v>
      </c>
      <c r="C26">
        <v>0</v>
      </c>
      <c r="D26">
        <v>0</v>
      </c>
      <c r="M26" s="4">
        <v>0.01</v>
      </c>
      <c r="N26">
        <f>(C31-C30)/($B$31-$B$30)</f>
        <v>0.38340316637603744</v>
      </c>
      <c r="O26">
        <f>(D31-D30)/($B$31-$B$30)</f>
        <v>0.59360216177590475</v>
      </c>
    </row>
    <row r="27" spans="1:15" x14ac:dyDescent="0.2">
      <c r="A27" s="3">
        <f t="shared" ref="A27:A61" si="0">B27-1</f>
        <v>2.0000000000000018E-3</v>
      </c>
      <c r="B27" s="3">
        <v>1.002</v>
      </c>
      <c r="C27">
        <f t="shared" ref="C27:C37" si="1">((2*C$19)/C$20)*($B27^(C$20-1)-$B27^(-1-C$20/2))</f>
        <v>5.6312418376104633E-4</v>
      </c>
      <c r="D27">
        <f t="shared" ref="D27:D37" si="2">((2*D$19)/D$20)*($B27^(D$20-1)-$B27^(-1-D$20/2))</f>
        <v>7.8675651375193997E-4</v>
      </c>
      <c r="M27" s="4">
        <v>0.02</v>
      </c>
      <c r="N27">
        <f>(C36-C35)/($B$36-$B$35)</f>
        <v>0.63262423389847122</v>
      </c>
      <c r="O27">
        <f>(D36-D35)/($B$36-$B$35)</f>
        <v>1.158644820182319</v>
      </c>
    </row>
    <row r="28" spans="1:15" x14ac:dyDescent="0.2">
      <c r="A28" s="3">
        <f t="shared" si="0"/>
        <v>4.0000000000000036E-3</v>
      </c>
      <c r="B28" s="3">
        <v>1.004</v>
      </c>
      <c r="C28">
        <f t="shared" si="1"/>
        <v>1.1651240046588471E-3</v>
      </c>
      <c r="D28">
        <f t="shared" si="2"/>
        <v>1.6453932536208307E-3</v>
      </c>
    </row>
    <row r="29" spans="1:15" x14ac:dyDescent="0.2">
      <c r="A29" s="3">
        <f t="shared" si="0"/>
        <v>6.0000000000000053E-3</v>
      </c>
      <c r="B29" s="3">
        <v>1.006</v>
      </c>
      <c r="C29">
        <f t="shared" si="1"/>
        <v>1.8134781621767142E-3</v>
      </c>
      <c r="D29">
        <f t="shared" si="2"/>
        <v>2.5930466634713841E-3</v>
      </c>
    </row>
    <row r="30" spans="1:15" x14ac:dyDescent="0.2">
      <c r="A30" s="3">
        <f t="shared" si="0"/>
        <v>8.0000000000000071E-3</v>
      </c>
      <c r="B30" s="3">
        <v>1.008</v>
      </c>
      <c r="C30">
        <f>((2*C$19)/C$20)*($B30^(C$20-1)-$B30^(-1-C$20/2))</f>
        <v>2.5164641963518839E-3</v>
      </c>
      <c r="D30">
        <f t="shared" si="2"/>
        <v>3.6492727531095511E-3</v>
      </c>
    </row>
    <row r="31" spans="1:15" x14ac:dyDescent="0.2">
      <c r="A31" s="3">
        <f t="shared" si="0"/>
        <v>1.0000000000000009E-2</v>
      </c>
      <c r="B31" s="3">
        <v>1.01</v>
      </c>
      <c r="C31">
        <f t="shared" si="1"/>
        <v>3.2832705291039595E-3</v>
      </c>
      <c r="D31">
        <f t="shared" si="2"/>
        <v>4.8364770766613618E-3</v>
      </c>
    </row>
    <row r="32" spans="1:15" x14ac:dyDescent="0.2">
      <c r="A32" s="3">
        <f t="shared" si="0"/>
        <v>1.2000000000000011E-2</v>
      </c>
      <c r="B32" s="3">
        <v>1.012</v>
      </c>
      <c r="C32">
        <f t="shared" si="1"/>
        <v>4.1241215639431835E-3</v>
      </c>
      <c r="D32">
        <f t="shared" si="2"/>
        <v>6.1804107224988063E-3</v>
      </c>
    </row>
    <row r="33" spans="1:4" x14ac:dyDescent="0.2">
      <c r="A33" s="3">
        <f t="shared" si="0"/>
        <v>1.4000000000000012E-2</v>
      </c>
      <c r="B33" s="3">
        <v>1.014</v>
      </c>
      <c r="C33">
        <f t="shared" si="1"/>
        <v>5.0504174881769431E-3</v>
      </c>
      <c r="D33">
        <f t="shared" si="2"/>
        <v>7.7107430216601736E-3</v>
      </c>
    </row>
    <row r="34" spans="1:4" x14ac:dyDescent="0.2">
      <c r="A34" s="3">
        <f t="shared" si="0"/>
        <v>1.6000000000000014E-2</v>
      </c>
      <c r="B34" s="3">
        <v>1.016</v>
      </c>
      <c r="C34">
        <f t="shared" si="1"/>
        <v>6.0748906130156629E-3</v>
      </c>
      <c r="D34">
        <f t="shared" si="2"/>
        <v>9.4617233243838583E-3</v>
      </c>
    </row>
    <row r="35" spans="1:4" x14ac:dyDescent="0.2">
      <c r="A35" s="3">
        <f t="shared" si="0"/>
        <v>1.8000000000000016E-2</v>
      </c>
      <c r="B35" s="3">
        <v>1.018</v>
      </c>
      <c r="C35">
        <f t="shared" si="1"/>
        <v>7.2117803009224633E-3</v>
      </c>
      <c r="D35">
        <f t="shared" si="2"/>
        <v>1.1472946090921185E-2</v>
      </c>
    </row>
    <row r="36" spans="1:4" x14ac:dyDescent="0.2">
      <c r="A36" s="3">
        <f t="shared" si="0"/>
        <v>2.0000000000000018E-2</v>
      </c>
      <c r="B36" s="3">
        <v>1.02</v>
      </c>
      <c r="C36">
        <f>((2*C$19)/C$20)*($B36^(C$20-1)-$B36^(-1-C$20/2))</f>
        <v>8.4770287687194069E-3</v>
      </c>
      <c r="D36">
        <f t="shared" si="2"/>
        <v>1.3790235731285825E-2</v>
      </c>
    </row>
    <row r="37" spans="1:4" x14ac:dyDescent="0.2">
      <c r="A37" s="3">
        <f t="shared" si="0"/>
        <v>2.200000000000002E-2</v>
      </c>
      <c r="B37" s="3">
        <v>1.022</v>
      </c>
      <c r="C37">
        <f t="shared" si="1"/>
        <v>9.8885003222112869E-3</v>
      </c>
      <c r="D37">
        <f t="shared" si="2"/>
        <v>1.6466670152771781E-2</v>
      </c>
    </row>
    <row r="38" spans="1:4" x14ac:dyDescent="0.2">
      <c r="A38" s="3">
        <f t="shared" si="0"/>
        <v>2.4000000000000021E-2</v>
      </c>
      <c r="B38" s="3">
        <v>1.024</v>
      </c>
      <c r="C38">
        <f t="shared" ref="C38:D53" si="3">((2*C$19)/C$20)*($B38^(C$20-1)-$B38^(-1-C$20/2))</f>
        <v>1.1466226876590954E-2</v>
      </c>
      <c r="D38">
        <f t="shared" si="3"/>
        <v>1.9563764884156853E-2</v>
      </c>
    </row>
    <row r="39" spans="1:4" x14ac:dyDescent="0.2">
      <c r="A39" s="3">
        <f t="shared" si="0"/>
        <v>2.6000000000000023E-2</v>
      </c>
      <c r="B39" s="3">
        <v>1.026</v>
      </c>
      <c r="C39">
        <f t="shared" si="3"/>
        <v>1.3232682950179653E-2</v>
      </c>
      <c r="D39">
        <f t="shared" si="3"/>
        <v>2.3152842999166711E-2</v>
      </c>
    </row>
    <row r="40" spans="1:4" x14ac:dyDescent="0.2">
      <c r="A40" s="3">
        <f t="shared" si="0"/>
        <v>2.8000000000000025E-2</v>
      </c>
      <c r="B40" s="3">
        <v>1.028</v>
      </c>
      <c r="C40">
        <f t="shared" si="3"/>
        <v>1.5213093691058357E-2</v>
      </c>
      <c r="D40">
        <f t="shared" si="3"/>
        <v>2.7316619925182362E-2</v>
      </c>
    </row>
    <row r="41" spans="1:4" x14ac:dyDescent="0.2">
      <c r="A41" s="3">
        <f t="shared" si="0"/>
        <v>3.0000000000000027E-2</v>
      </c>
      <c r="B41" s="3">
        <v>1.03</v>
      </c>
      <c r="C41">
        <f t="shared" si="3"/>
        <v>1.7435779911224764E-2</v>
      </c>
      <c r="D41">
        <f t="shared" si="3"/>
        <v>3.2151036672252685E-2</v>
      </c>
    </row>
    <row r="42" spans="1:4" x14ac:dyDescent="0.2">
      <c r="A42" s="3">
        <f t="shared" si="0"/>
        <v>3.2000000000000028E-2</v>
      </c>
      <c r="B42" s="3">
        <v>1.032</v>
      </c>
      <c r="C42">
        <f t="shared" si="3"/>
        <v>1.9932544565916487E-2</v>
      </c>
      <c r="D42">
        <f t="shared" si="3"/>
        <v>3.7767380139301955E-2</v>
      </c>
    </row>
    <row r="43" spans="1:4" x14ac:dyDescent="0.2">
      <c r="A43" s="3">
        <f t="shared" si="0"/>
        <v>3.400000000000003E-2</v>
      </c>
      <c r="B43" s="3">
        <v>1.034</v>
      </c>
      <c r="C43">
        <f t="shared" si="3"/>
        <v>2.2739105632059088E-2</v>
      </c>
      <c r="D43">
        <f t="shared" si="3"/>
        <v>4.4294735048840038E-2</v>
      </c>
    </row>
    <row r="44" spans="1:4" x14ac:dyDescent="0.2">
      <c r="A44" s="3">
        <f t="shared" si="0"/>
        <v>3.6000000000000032E-2</v>
      </c>
      <c r="B44" s="3">
        <v>1.036</v>
      </c>
      <c r="C44">
        <f t="shared" si="3"/>
        <v>2.5895580915413097E-2</v>
      </c>
      <c r="D44">
        <f t="shared" si="3"/>
        <v>5.1882818842936433E-2</v>
      </c>
    </row>
    <row r="45" spans="1:4" x14ac:dyDescent="0.2">
      <c r="A45" s="3">
        <f t="shared" si="0"/>
        <v>3.8000000000000034E-2</v>
      </c>
      <c r="B45" s="3">
        <v>1.038</v>
      </c>
      <c r="C45">
        <f t="shared" si="3"/>
        <v>2.9447030957549927E-2</v>
      </c>
      <c r="D45">
        <f t="shared" si="3"/>
        <v>6.0705258672852057E-2</v>
      </c>
    </row>
    <row r="46" spans="1:4" x14ac:dyDescent="0.2">
      <c r="A46" s="3">
        <f t="shared" si="0"/>
        <v>4.0000000000000036E-2</v>
      </c>
      <c r="B46" s="3">
        <v>1.04</v>
      </c>
      <c r="C46">
        <f t="shared" si="3"/>
        <v>3.3444066928656757E-2</v>
      </c>
      <c r="D46">
        <f t="shared" si="3"/>
        <v>7.0963378582776349E-2</v>
      </c>
    </row>
    <row r="47" spans="1:4" x14ac:dyDescent="0.2">
      <c r="A47" s="3">
        <f t="shared" si="0"/>
        <v>4.2000000000000037E-2</v>
      </c>
      <c r="B47" s="3">
        <v>1.042</v>
      </c>
      <c r="C47">
        <f t="shared" si="3"/>
        <v>3.7943531188543808E-2</v>
      </c>
      <c r="D47">
        <f t="shared" si="3"/>
        <v>8.2890575296666644E-2</v>
      </c>
    </row>
    <row r="48" spans="1:4" x14ac:dyDescent="0.2">
      <c r="A48" s="3">
        <f t="shared" si="0"/>
        <v>4.4000000000000039E-2</v>
      </c>
      <c r="B48" s="3">
        <v>1.044</v>
      </c>
      <c r="C48">
        <f t="shared" si="3"/>
        <v>4.3009259085182321E-2</v>
      </c>
      <c r="D48">
        <f t="shared" si="3"/>
        <v>9.6757372863246122E-2</v>
      </c>
    </row>
    <row r="49" spans="1:4" x14ac:dyDescent="0.2">
      <c r="A49" s="3">
        <f t="shared" si="0"/>
        <v>4.6000000000000041E-2</v>
      </c>
      <c r="B49" s="3">
        <v>1.046</v>
      </c>
      <c r="C49">
        <f t="shared" si="3"/>
        <v>4.8712931547719128E-2</v>
      </c>
      <c r="D49">
        <f t="shared" si="3"/>
        <v>0.11287726002331798</v>
      </c>
    </row>
    <row r="50" spans="1:4" x14ac:dyDescent="0.2">
      <c r="A50" s="3">
        <f t="shared" si="0"/>
        <v>4.8000000000000043E-2</v>
      </c>
      <c r="B50" s="3">
        <v>1.048</v>
      </c>
      <c r="C50">
        <f>((2*C$19)/C$20)*($B50^(C$20-1)-$B50^(-1-C$20/2))</f>
        <v>5.5135029130366546E-2</v>
      </c>
      <c r="D50">
        <f t="shared" si="3"/>
        <v>0.13161342979377841</v>
      </c>
    </row>
    <row r="51" spans="1:4" x14ac:dyDescent="0.2">
      <c r="A51" s="3">
        <f t="shared" si="0"/>
        <v>5.0000000000000044E-2</v>
      </c>
      <c r="B51" s="3">
        <v>1.05</v>
      </c>
      <c r="C51">
        <f t="shared" si="3"/>
        <v>6.236589938725063E-2</v>
      </c>
      <c r="D51">
        <f t="shared" si="3"/>
        <v>0.15338655870933127</v>
      </c>
    </row>
    <row r="52" spans="1:4" x14ac:dyDescent="0.2">
      <c r="A52" s="3">
        <f t="shared" si="0"/>
        <v>5.2000000000000046E-2</v>
      </c>
      <c r="B52" s="3">
        <v>1.052</v>
      </c>
      <c r="C52">
        <f t="shared" si="3"/>
        <v>7.0506950819955061E-2</v>
      </c>
      <c r="D52">
        <f t="shared" si="3"/>
        <v>0.17868378376364541</v>
      </c>
    </row>
    <row r="53" spans="1:4" x14ac:dyDescent="0.2">
      <c r="A53" s="3">
        <f t="shared" si="0"/>
        <v>5.4000000000000048E-2</v>
      </c>
      <c r="B53" s="3">
        <v>1.054</v>
      </c>
      <c r="C53">
        <f t="shared" si="3"/>
        <v>7.9671988154356332E-2</v>
      </c>
      <c r="D53">
        <f t="shared" si="3"/>
        <v>0.20806905873273501</v>
      </c>
    </row>
    <row r="54" spans="1:4" x14ac:dyDescent="0.2">
      <c r="A54" s="3">
        <f t="shared" si="0"/>
        <v>5.600000000000005E-2</v>
      </c>
      <c r="B54" s="3">
        <v>1.056</v>
      </c>
      <c r="C54">
        <f t="shared" ref="C54:D61" si="4">((2*C$19)/C$20)*($B54^(C$20-1)-$B54^(-1-C$20/2))</f>
        <v>8.9988705388282325E-2</v>
      </c>
      <c r="D54">
        <f t="shared" si="4"/>
        <v>0.24219509868614661</v>
      </c>
    </row>
    <row r="55" spans="1:4" x14ac:dyDescent="0.2">
      <c r="A55" s="3">
        <f t="shared" si="0"/>
        <v>5.8000000000000052E-2</v>
      </c>
      <c r="B55" s="3">
        <v>1.0580000000000001</v>
      </c>
      <c r="C55">
        <f t="shared" si="4"/>
        <v>0.10160035492525074</v>
      </c>
      <c r="D55">
        <f t="shared" si="4"/>
        <v>0.28181715260067708</v>
      </c>
    </row>
    <row r="56" spans="1:4" x14ac:dyDescent="0.2">
      <c r="A56" s="3">
        <f t="shared" si="0"/>
        <v>6.0000000000000053E-2</v>
      </c>
      <c r="B56" s="3">
        <v>1.06</v>
      </c>
      <c r="C56">
        <f t="shared" si="4"/>
        <v>0.11466761319276809</v>
      </c>
      <c r="D56">
        <f t="shared" si="4"/>
        <v>0.32780887966331018</v>
      </c>
    </row>
    <row r="57" spans="1:4" x14ac:dyDescent="0.2">
      <c r="A57" s="3">
        <f t="shared" si="0"/>
        <v>6.2000000000000055E-2</v>
      </c>
      <c r="B57" s="3">
        <v>1.0620000000000001</v>
      </c>
      <c r="C57">
        <f t="shared" si="4"/>
        <v>0.12937066545934572</v>
      </c>
      <c r="D57">
        <f t="shared" si="4"/>
        <v>0.38118064574340904</v>
      </c>
    </row>
    <row r="58" spans="1:4" x14ac:dyDescent="0.2">
      <c r="A58" s="3">
        <f t="shared" si="0"/>
        <v>6.4000000000000057E-2</v>
      </c>
      <c r="B58" s="3">
        <v>1.0640000000000001</v>
      </c>
      <c r="C58">
        <f t="shared" si="4"/>
        <v>0.14591153513792585</v>
      </c>
      <c r="D58">
        <f t="shared" si="4"/>
        <v>0.44310060338098001</v>
      </c>
    </row>
    <row r="59" spans="1:4" x14ac:dyDescent="0.2">
      <c r="A59" s="3">
        <f t="shared" si="0"/>
        <v>6.6000000000000059E-2</v>
      </c>
      <c r="B59" s="3">
        <v>1.0660000000000001</v>
      </c>
      <c r="C59">
        <f t="shared" si="4"/>
        <v>0.16451668572294087</v>
      </c>
      <c r="D59">
        <f t="shared" si="4"/>
        <v>0.51491897233673256</v>
      </c>
    </row>
    <row r="60" spans="1:4" x14ac:dyDescent="0.2">
      <c r="A60" s="3">
        <f t="shared" si="0"/>
        <v>6.800000000000006E-2</v>
      </c>
      <c r="B60" s="3">
        <v>1.0680000000000001</v>
      </c>
      <c r="C60">
        <f t="shared" si="4"/>
        <v>0.18543992668489562</v>
      </c>
      <c r="D60">
        <f t="shared" si="4"/>
        <v>0.59819599926075606</v>
      </c>
    </row>
    <row r="61" spans="1:4" x14ac:dyDescent="0.2">
      <c r="A61" s="3">
        <f t="shared" si="0"/>
        <v>7.0000000000000062E-2</v>
      </c>
      <c r="B61" s="3">
        <v>1.07</v>
      </c>
      <c r="C61">
        <f t="shared" si="4"/>
        <v>0.208965658174629</v>
      </c>
      <c r="D61">
        <f t="shared" si="4"/>
        <v>0.69473414547842127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2020-10-19T00:39:07Z</dcterms:modified>
  <cp:category/>
  <cp:contentStatus/>
</cp:coreProperties>
</file>