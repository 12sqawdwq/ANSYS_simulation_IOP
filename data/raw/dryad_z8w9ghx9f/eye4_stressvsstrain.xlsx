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907"/>
  <workbookPr filterPrivacy="1"/>
  <mc:AlternateContent xmlns:mc="http://schemas.openxmlformats.org/markup-compatibility/2006">
    <mc:Choice Requires="x15">
      <x15ac:absPath xmlns:x15ac="http://schemas.microsoft.com/office/spreadsheetml/2010/11/ac" url="/Users/shao-hsuanchang/Desktop/plos one final document/data/"/>
    </mc:Choice>
  </mc:AlternateContent>
  <bookViews>
    <workbookView xWindow="0" yWindow="460" windowWidth="25600" windowHeight="14180"/>
  </bookViews>
  <sheets>
    <sheet name="MC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52" i="1" l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26" i="1"/>
  <c r="D31" i="1"/>
  <c r="D32" i="1"/>
  <c r="C31" i="1"/>
  <c r="C30" i="1"/>
  <c r="N26" i="1"/>
  <c r="C36" i="1"/>
  <c r="C35" i="1"/>
  <c r="N27" i="1"/>
  <c r="D30" i="1"/>
  <c r="O26" i="1"/>
  <c r="N21" i="1"/>
  <c r="D36" i="1"/>
  <c r="D35" i="1"/>
  <c r="O27" i="1"/>
  <c r="N22" i="1"/>
  <c r="D27" i="1"/>
  <c r="D28" i="1"/>
  <c r="D29" i="1"/>
  <c r="D33" i="1"/>
  <c r="D34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7" i="1"/>
  <c r="C29" i="1"/>
  <c r="C28" i="1"/>
  <c r="C32" i="1"/>
  <c r="C33" i="1"/>
  <c r="C34" i="1"/>
  <c r="C37" i="1"/>
</calcChain>
</file>

<file path=xl/sharedStrings.xml><?xml version="1.0" encoding="utf-8"?>
<sst xmlns="http://schemas.openxmlformats.org/spreadsheetml/2006/main" count="16" uniqueCount="12">
  <si>
    <t>Mlim</t>
  </si>
  <si>
    <t>Before</t>
  </si>
  <si>
    <t xml:space="preserve">After </t>
  </si>
  <si>
    <t>Mu1</t>
  </si>
  <si>
    <t>Alpha1</t>
  </si>
  <si>
    <t>E Ratio at 1%</t>
  </si>
  <si>
    <t>E Ratio at 2%</t>
  </si>
  <si>
    <t>Stretch
(lambda)</t>
  </si>
  <si>
    <t>Stress
(MPa)</t>
  </si>
  <si>
    <t>E tangent</t>
  </si>
  <si>
    <t>strain
(lambda)</t>
  </si>
  <si>
    <t>Table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</si>
</sst>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164" fontId="0" fillId="0" borderId="0" xfId="0" applyNumberFormat="1"/>
    <xf numFmtId="9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10F-47B2-8891-BCD59EC0DA17}"/>
            </c:ext>
          </c:extLst>
        </c:ser>
        <c:ser>
          <c:idx val="1"/>
          <c:order val="1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C10F-47B2-8891-BCD59EC0DA17}"/>
            </c:ext>
          </c:extLst>
        </c:ser>
        <c:ser>
          <c:idx val="2"/>
          <c:order val="2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C10F-47B2-8891-BCD59EC0DA17}"/>
            </c:ext>
          </c:extLst>
        </c:ser>
        <c:ser>
          <c:idx val="3"/>
          <c:order val="3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C10F-47B2-8891-BCD59EC0DA17}"/>
            </c:ext>
          </c:extLst>
        </c:ser>
        <c:ser>
          <c:idx val="4"/>
          <c:order val="4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C10F-47B2-8891-BCD59EC0DA17}"/>
            </c:ext>
          </c:extLst>
        </c:ser>
        <c:ser>
          <c:idx val="5"/>
          <c:order val="5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C10F-47B2-8891-BCD59EC0DA17}"/>
            </c:ext>
          </c:extLst>
        </c:ser>
        <c:ser>
          <c:idx val="6"/>
          <c:order val="6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6-C10F-47B2-8891-BCD59EC0D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4683776"/>
        <c:axId val="1344685552"/>
      </c:scatterChart>
      <c:valAx>
        <c:axId val="1344683776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crossAx val="1344685552"/>
        <c:crosses val="autoZero"/>
        <c:crossBetween val="midCat"/>
      </c:valAx>
      <c:valAx>
        <c:axId val="1344685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46837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Eye 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'MC1'!$C$24</c:f>
              <c:strCache>
                <c:ptCount val="1"/>
                <c:pt idx="0">
                  <c:v>Before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'MC1'!$A$26:$A$51</c:f>
              <c:numCache>
                <c:formatCode>0.000</c:formatCode>
                <c:ptCount val="26"/>
                <c:pt idx="0">
                  <c:v>0.0</c:v>
                </c:pt>
                <c:pt idx="1">
                  <c:v>0.002</c:v>
                </c:pt>
                <c:pt idx="2">
                  <c:v>0.004</c:v>
                </c:pt>
                <c:pt idx="3">
                  <c:v>0.006</c:v>
                </c:pt>
                <c:pt idx="4">
                  <c:v>0.00800000000000001</c:v>
                </c:pt>
                <c:pt idx="5">
                  <c:v>0.01</c:v>
                </c:pt>
                <c:pt idx="6">
                  <c:v>0.012</c:v>
                </c:pt>
                <c:pt idx="7">
                  <c:v>0.014</c:v>
                </c:pt>
                <c:pt idx="8">
                  <c:v>0.016</c:v>
                </c:pt>
                <c:pt idx="9">
                  <c:v>0.018</c:v>
                </c:pt>
                <c:pt idx="10">
                  <c:v>0.02</c:v>
                </c:pt>
                <c:pt idx="11">
                  <c:v>0.022</c:v>
                </c:pt>
                <c:pt idx="12">
                  <c:v>0.024</c:v>
                </c:pt>
                <c:pt idx="13">
                  <c:v>0.026</c:v>
                </c:pt>
                <c:pt idx="14">
                  <c:v>0.028</c:v>
                </c:pt>
                <c:pt idx="15">
                  <c:v>0.03</c:v>
                </c:pt>
                <c:pt idx="16">
                  <c:v>0.032</c:v>
                </c:pt>
                <c:pt idx="17">
                  <c:v>0.034</c:v>
                </c:pt>
                <c:pt idx="18">
                  <c:v>0.036</c:v>
                </c:pt>
                <c:pt idx="19">
                  <c:v>0.038</c:v>
                </c:pt>
                <c:pt idx="20">
                  <c:v>0.04</c:v>
                </c:pt>
                <c:pt idx="21">
                  <c:v>0.042</c:v>
                </c:pt>
                <c:pt idx="22">
                  <c:v>0.044</c:v>
                </c:pt>
                <c:pt idx="23">
                  <c:v>0.046</c:v>
                </c:pt>
                <c:pt idx="24">
                  <c:v>0.048</c:v>
                </c:pt>
                <c:pt idx="25">
                  <c:v>0.05</c:v>
                </c:pt>
              </c:numCache>
            </c:numRef>
          </c:xVal>
          <c:yVal>
            <c:numRef>
              <c:f>'MC1'!$C$26:$C$51</c:f>
              <c:numCache>
                <c:formatCode>General</c:formatCode>
                <c:ptCount val="26"/>
                <c:pt idx="0">
                  <c:v>0.0</c:v>
                </c:pt>
                <c:pt idx="1">
                  <c:v>8.96440811443447E-5</c:v>
                </c:pt>
                <c:pt idx="2">
                  <c:v>0.000186797229344088</c:v>
                </c:pt>
                <c:pt idx="3">
                  <c:v>0.000293134299637766</c:v>
                </c:pt>
                <c:pt idx="4">
                  <c:v>0.000410547158002071</c:v>
                </c:pt>
                <c:pt idx="5">
                  <c:v>0.000541180512206543</c:v>
                </c:pt>
                <c:pt idx="6">
                  <c:v>0.000687472797701015</c:v>
                </c:pt>
                <c:pt idx="7">
                  <c:v>0.000852202876583477</c:v>
                </c:pt>
                <c:pt idx="8">
                  <c:v>0.00103854341455377</c:v>
                </c:pt>
                <c:pt idx="9">
                  <c:v>0.00125012192283006</c:v>
                </c:pt>
                <c:pt idx="10">
                  <c:v>0.00149109059138417</c:v>
                </c:pt>
                <c:pt idx="11">
                  <c:v>0.00176620619891781</c:v>
                </c:pt>
                <c:pt idx="12">
                  <c:v>0.00208092156645932</c:v>
                </c:pt>
                <c:pt idx="13">
                  <c:v>0.00244149022838088</c:v>
                </c:pt>
                <c:pt idx="14">
                  <c:v>0.00285508623050689</c:v>
                </c:pt>
                <c:pt idx="15">
                  <c:v>0.00332994123376659</c:v>
                </c:pt>
                <c:pt idx="16">
                  <c:v>0.00387550140802924</c:v>
                </c:pt>
                <c:pt idx="17">
                  <c:v>0.00450260694944928</c:v>
                </c:pt>
                <c:pt idx="18">
                  <c:v>0.00522369745162298</c:v>
                </c:pt>
                <c:pt idx="19">
                  <c:v>0.00605304681267587</c:v>
                </c:pt>
                <c:pt idx="20">
                  <c:v>0.0070070318744946</c:v>
                </c:pt>
                <c:pt idx="21">
                  <c:v>0.00810443957511544</c:v>
                </c:pt>
                <c:pt idx="22">
                  <c:v>0.00936681806032833</c:v>
                </c:pt>
                <c:pt idx="23">
                  <c:v>0.0108188779566678</c:v>
                </c:pt>
                <c:pt idx="24">
                  <c:v>0.0124889508673854</c:v>
                </c:pt>
                <c:pt idx="25">
                  <c:v>0.0144095131296026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999-43B6-B93E-E95AFE34F62E}"/>
            </c:ext>
          </c:extLst>
        </c:ser>
        <c:ser>
          <c:idx val="1"/>
          <c:order val="1"/>
          <c:tx>
            <c:strRef>
              <c:f>'MC1'!$D$24</c:f>
              <c:strCache>
                <c:ptCount val="1"/>
                <c:pt idx="0">
                  <c:v>After 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'MC1'!$A$26:$A$41</c:f>
              <c:numCache>
                <c:formatCode>0.000</c:formatCode>
                <c:ptCount val="16"/>
                <c:pt idx="0">
                  <c:v>0.0</c:v>
                </c:pt>
                <c:pt idx="1">
                  <c:v>0.002</c:v>
                </c:pt>
                <c:pt idx="2">
                  <c:v>0.004</c:v>
                </c:pt>
                <c:pt idx="3">
                  <c:v>0.006</c:v>
                </c:pt>
                <c:pt idx="4">
                  <c:v>0.00800000000000001</c:v>
                </c:pt>
                <c:pt idx="5">
                  <c:v>0.01</c:v>
                </c:pt>
                <c:pt idx="6">
                  <c:v>0.012</c:v>
                </c:pt>
                <c:pt idx="7">
                  <c:v>0.014</c:v>
                </c:pt>
                <c:pt idx="8">
                  <c:v>0.016</c:v>
                </c:pt>
                <c:pt idx="9">
                  <c:v>0.018</c:v>
                </c:pt>
                <c:pt idx="10">
                  <c:v>0.02</c:v>
                </c:pt>
                <c:pt idx="11">
                  <c:v>0.022</c:v>
                </c:pt>
                <c:pt idx="12">
                  <c:v>0.024</c:v>
                </c:pt>
                <c:pt idx="13">
                  <c:v>0.026</c:v>
                </c:pt>
                <c:pt idx="14">
                  <c:v>0.028</c:v>
                </c:pt>
                <c:pt idx="15">
                  <c:v>0.03</c:v>
                </c:pt>
              </c:numCache>
            </c:numRef>
          </c:xVal>
          <c:yVal>
            <c:numRef>
              <c:f>'MC1'!$D$26:$D$41</c:f>
              <c:numCache>
                <c:formatCode>General</c:formatCode>
                <c:ptCount val="16"/>
                <c:pt idx="0">
                  <c:v>0.0</c:v>
                </c:pt>
                <c:pt idx="1">
                  <c:v>7.28756157917797E-5</c:v>
                </c:pt>
                <c:pt idx="2">
                  <c:v>0.000160723264197186</c:v>
                </c:pt>
                <c:pt idx="3">
                  <c:v>0.000270165922684545</c:v>
                </c:pt>
                <c:pt idx="4">
                  <c:v>0.00040986994399077</c:v>
                </c:pt>
                <c:pt idx="5">
                  <c:v>0.000591266237658337</c:v>
                </c:pt>
                <c:pt idx="6">
                  <c:v>0.000829508156538991</c:v>
                </c:pt>
                <c:pt idx="7">
                  <c:v>0.00114474525942214</c:v>
                </c:pt>
                <c:pt idx="8">
                  <c:v>0.00156381802728264</c:v>
                </c:pt>
                <c:pt idx="9">
                  <c:v>0.00212251296562914</c:v>
                </c:pt>
                <c:pt idx="10">
                  <c:v>0.00286856305137323</c:v>
                </c:pt>
                <c:pt idx="11">
                  <c:v>0.00386563877202457</c:v>
                </c:pt>
                <c:pt idx="12">
                  <c:v>0.00519865479591743</c:v>
                </c:pt>
                <c:pt idx="13">
                  <c:v>0.00698082284998258</c:v>
                </c:pt>
                <c:pt idx="14">
                  <c:v>0.00936302089394091</c:v>
                </c:pt>
                <c:pt idx="15">
                  <c:v>0.0125462329998051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999-43B6-B93E-E95AFE34F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118016"/>
        <c:axId val="1224014560"/>
      </c:scatterChart>
      <c:valAx>
        <c:axId val="113111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14560"/>
        <c:crosses val="autoZero"/>
        <c:crossBetween val="midCat"/>
      </c:valAx>
      <c:valAx>
        <c:axId val="122401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11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'MC1'!$N$25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'MC1'!$N$26:$O$26</c:f>
              <c:numCache>
                <c:formatCode>General</c:formatCode>
                <c:ptCount val="2"/>
                <c:pt idx="0">
                  <c:v>0.065316677102236</c:v>
                </c:pt>
                <c:pt idx="1">
                  <c:v>0.0906981468337833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CDB-4621-8134-2ABEA729E8F0}"/>
            </c:ext>
          </c:extLst>
        </c:ser>
        <c:ser>
          <c:idx val="1"/>
          <c:order val="1"/>
          <c:tx>
            <c:strRef>
              <c:f>'MC1'!$O$25</c:f>
              <c:strCache>
                <c:ptCount val="1"/>
                <c:pt idx="0">
                  <c:v>After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'MC1'!$N$27:$O$27</c:f>
              <c:numCache>
                <c:formatCode>General</c:formatCode>
                <c:ptCount val="2"/>
                <c:pt idx="0">
                  <c:v>0.120484334277056</c:v>
                </c:pt>
                <c:pt idx="1">
                  <c:v>0.373025042872047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CDB-4621-8134-2ABEA729E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71122656"/>
        <c:axId val="1269441568"/>
        <c:axId val="0"/>
      </c:bar3DChart>
      <c:catAx>
        <c:axId val="1271122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strain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441568"/>
        <c:crosses val="autoZero"/>
        <c:auto val="1"/>
        <c:lblAlgn val="ctr"/>
        <c:lblOffset val="100"/>
        <c:noMultiLvlLbl val="0"/>
      </c:catAx>
      <c:valAx>
        <c:axId val="126944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 Tangent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2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</xdr:col>
      <xdr:colOff>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158750</xdr:colOff>
      <xdr:row>2</xdr:row>
      <xdr:rowOff>0</xdr:rowOff>
    </xdr:from>
    <xdr:to>
      <xdr:col>7</xdr:col>
      <xdr:colOff>458932</xdr:colOff>
      <xdr:row>16</xdr:row>
      <xdr:rowOff>116609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419966</xdr:colOff>
      <xdr:row>2</xdr:row>
      <xdr:rowOff>28287</xdr:rowOff>
    </xdr:from>
    <xdr:to>
      <xdr:col>16</xdr:col>
      <xdr:colOff>56284</xdr:colOff>
      <xdr:row>16</xdr:row>
      <xdr:rowOff>144896</xdr:rowOff>
    </xdr:to>
    <xdr:graphicFrame macro="">
      <xdr:nvGraphicFramePr>
        <xdr:cNvPr id="8" name="Chart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"/>
  <sheetViews>
    <sheetView tabSelected="1" zoomScale="88" zoomScaleNormal="116" zoomScalePageLayoutView="116" workbookViewId="0">
      <selection sqref="A1:Q1"/>
    </sheetView>
  </sheetViews>
  <sheetFormatPr baseColWidth="10" defaultColWidth="8.83203125" defaultRowHeight="15" x14ac:dyDescent="0.2"/>
  <cols>
    <col min="4" max="4" width="11.5" bestFit="1" customWidth="1"/>
    <col min="13" max="13" width="11.33203125" bestFit="1" customWidth="1"/>
  </cols>
  <sheetData>
    <row r="1" spans="1:17" ht="21" x14ac:dyDescent="0.25">
      <c r="A1" s="9" t="s">
        <v>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17" spans="1:15" x14ac:dyDescent="0.2">
      <c r="B17" t="s">
        <v>0</v>
      </c>
    </row>
    <row r="18" spans="1:15" x14ac:dyDescent="0.2">
      <c r="B18" s="5"/>
      <c r="C18" s="6" t="s">
        <v>1</v>
      </c>
      <c r="D18" s="6" t="s">
        <v>2</v>
      </c>
      <c r="E18" s="1"/>
      <c r="F18" s="1"/>
      <c r="G18" s="1"/>
      <c r="H18" s="1"/>
      <c r="I18" s="1"/>
      <c r="J18" s="1"/>
      <c r="K18" s="1"/>
    </row>
    <row r="19" spans="1:15" x14ac:dyDescent="0.2">
      <c r="B19" s="7" t="s">
        <v>3</v>
      </c>
      <c r="C19" s="8">
        <v>1.44E-2</v>
      </c>
      <c r="D19" s="8">
        <v>1.12E-2</v>
      </c>
    </row>
    <row r="20" spans="1:15" x14ac:dyDescent="0.2">
      <c r="B20" s="7" t="s">
        <v>4</v>
      </c>
      <c r="C20" s="8">
        <v>75.521500000000003</v>
      </c>
      <c r="D20" s="8">
        <v>151.2199</v>
      </c>
    </row>
    <row r="21" spans="1:15" x14ac:dyDescent="0.2">
      <c r="B21" s="1"/>
      <c r="M21" t="s">
        <v>5</v>
      </c>
      <c r="N21">
        <f>O26/N26</f>
        <v>1.3885909519221156</v>
      </c>
    </row>
    <row r="22" spans="1:15" x14ac:dyDescent="0.2">
      <c r="B22" s="1"/>
      <c r="M22" t="s">
        <v>6</v>
      </c>
      <c r="N22">
        <f>O27/N27</f>
        <v>3.0960460138682349</v>
      </c>
    </row>
    <row r="24" spans="1:15" x14ac:dyDescent="0.2">
      <c r="C24" t="s">
        <v>1</v>
      </c>
      <c r="D24" t="s">
        <v>2</v>
      </c>
    </row>
    <row r="25" spans="1:15" ht="30" x14ac:dyDescent="0.2">
      <c r="A25" s="2" t="s">
        <v>10</v>
      </c>
      <c r="B25" s="2" t="s">
        <v>7</v>
      </c>
      <c r="C25" s="2" t="s">
        <v>8</v>
      </c>
      <c r="D25" s="2"/>
      <c r="M25" t="s">
        <v>9</v>
      </c>
      <c r="N25" t="s">
        <v>1</v>
      </c>
      <c r="O25" t="s">
        <v>2</v>
      </c>
    </row>
    <row r="26" spans="1:15" x14ac:dyDescent="0.2">
      <c r="A26" s="3">
        <f>B26-1</f>
        <v>0</v>
      </c>
      <c r="B26" s="3">
        <v>1</v>
      </c>
      <c r="C26">
        <v>0</v>
      </c>
      <c r="D26">
        <v>0</v>
      </c>
      <c r="M26" s="4">
        <v>0.01</v>
      </c>
      <c r="N26">
        <f>(C31-C30)/($B$31-$B$30)</f>
        <v>6.5316677102236029E-2</v>
      </c>
      <c r="O26">
        <f>(D31-D30)/($B$31-$B$30)</f>
        <v>9.0698146833783369E-2</v>
      </c>
    </row>
    <row r="27" spans="1:15" x14ac:dyDescent="0.2">
      <c r="A27" s="3">
        <f t="shared" ref="A27:A68" si="0">B27-1</f>
        <v>2.0000000000000018E-3</v>
      </c>
      <c r="B27" s="3">
        <v>1.002</v>
      </c>
      <c r="C27">
        <f t="shared" ref="C27:C37" si="1">((2*C$19)/C$20)*($B27^(C$20-1)-$B27^(-1-C$20/2))</f>
        <v>8.9644081144344754E-5</v>
      </c>
      <c r="D27">
        <f t="shared" ref="D27:D37" si="2">((2*D$19)/D$20)*($B27^(D$20-1)-$B27^(-1-D$20/2))</f>
        <v>7.2875615791779679E-5</v>
      </c>
      <c r="M27" s="4">
        <v>0.02</v>
      </c>
      <c r="N27">
        <f>(C36-C35)/($B$36-$B$35)</f>
        <v>0.12048433427705582</v>
      </c>
      <c r="O27">
        <f>(D36-D35)/($B$36-$B$35)</f>
        <v>0.37302504287204663</v>
      </c>
    </row>
    <row r="28" spans="1:15" x14ac:dyDescent="0.2">
      <c r="A28" s="3">
        <f t="shared" si="0"/>
        <v>4.0000000000000036E-3</v>
      </c>
      <c r="B28" s="3">
        <v>1.004</v>
      </c>
      <c r="C28">
        <f t="shared" si="1"/>
        <v>1.8679722934408774E-4</v>
      </c>
      <c r="D28">
        <f t="shared" si="2"/>
        <v>1.6072326419718571E-4</v>
      </c>
    </row>
    <row r="29" spans="1:15" x14ac:dyDescent="0.2">
      <c r="A29" s="3">
        <f t="shared" si="0"/>
        <v>6.0000000000000053E-3</v>
      </c>
      <c r="B29" s="3">
        <v>1.006</v>
      </c>
      <c r="C29">
        <f t="shared" si="1"/>
        <v>2.931342996377659E-4</v>
      </c>
      <c r="D29">
        <f t="shared" si="2"/>
        <v>2.7016592268454514E-4</v>
      </c>
    </row>
    <row r="30" spans="1:15" x14ac:dyDescent="0.2">
      <c r="A30" s="3">
        <f t="shared" si="0"/>
        <v>8.0000000000000071E-3</v>
      </c>
      <c r="B30" s="3">
        <v>1.008</v>
      </c>
      <c r="C30">
        <f t="shared" si="1"/>
        <v>4.105471580020711E-4</v>
      </c>
      <c r="D30">
        <f t="shared" si="2"/>
        <v>4.0986994399077004E-4</v>
      </c>
    </row>
    <row r="31" spans="1:15" x14ac:dyDescent="0.2">
      <c r="A31" s="3">
        <f t="shared" si="0"/>
        <v>1.0000000000000009E-2</v>
      </c>
      <c r="B31" s="3">
        <v>1.01</v>
      </c>
      <c r="C31">
        <f t="shared" si="1"/>
        <v>5.4118051220654328E-4</v>
      </c>
      <c r="D31">
        <f t="shared" si="2"/>
        <v>5.9126623765833693E-4</v>
      </c>
    </row>
    <row r="32" spans="1:15" x14ac:dyDescent="0.2">
      <c r="A32" s="3">
        <f t="shared" si="0"/>
        <v>1.2000000000000011E-2</v>
      </c>
      <c r="B32" s="3">
        <v>1.012</v>
      </c>
      <c r="C32">
        <f t="shared" si="1"/>
        <v>6.8747279770101479E-4</v>
      </c>
      <c r="D32">
        <f>((2*D$19)/D$20)*($B32^(D$20-1)-$B32^(-1-D$20/2))</f>
        <v>8.2950815653899104E-4</v>
      </c>
    </row>
    <row r="33" spans="1:4" x14ac:dyDescent="0.2">
      <c r="A33" s="3">
        <f t="shared" si="0"/>
        <v>1.4000000000000012E-2</v>
      </c>
      <c r="B33" s="3">
        <v>1.014</v>
      </c>
      <c r="C33">
        <f t="shared" si="1"/>
        <v>8.5220287658347718E-4</v>
      </c>
      <c r="D33">
        <f t="shared" si="2"/>
        <v>1.1447452594221435E-3</v>
      </c>
    </row>
    <row r="34" spans="1:4" x14ac:dyDescent="0.2">
      <c r="A34" s="3">
        <f t="shared" si="0"/>
        <v>1.6000000000000014E-2</v>
      </c>
      <c r="B34" s="3">
        <v>1.016</v>
      </c>
      <c r="C34">
        <f t="shared" si="1"/>
        <v>1.0385434145537672E-3</v>
      </c>
      <c r="D34">
        <f t="shared" si="2"/>
        <v>1.563818027282644E-3</v>
      </c>
    </row>
    <row r="35" spans="1:4" x14ac:dyDescent="0.2">
      <c r="A35" s="3">
        <f t="shared" si="0"/>
        <v>1.8000000000000016E-2</v>
      </c>
      <c r="B35" s="3">
        <v>1.018</v>
      </c>
      <c r="C35">
        <f t="shared" si="1"/>
        <v>1.2501219228300616E-3</v>
      </c>
      <c r="D35">
        <f t="shared" si="2"/>
        <v>2.1225129656291405E-3</v>
      </c>
    </row>
    <row r="36" spans="1:4" x14ac:dyDescent="0.2">
      <c r="A36" s="3">
        <f t="shared" si="0"/>
        <v>2.0000000000000018E-2</v>
      </c>
      <c r="B36" s="3">
        <v>1.02</v>
      </c>
      <c r="C36">
        <f>((2*C$19)/C$20)*($B36^(C$20-1)-$B36^(-1-C$20/2))</f>
        <v>1.4910905913841734E-3</v>
      </c>
      <c r="D36">
        <f t="shared" si="2"/>
        <v>2.8685630513732344E-3</v>
      </c>
    </row>
    <row r="37" spans="1:4" x14ac:dyDescent="0.2">
      <c r="A37" s="3">
        <f t="shared" si="0"/>
        <v>2.200000000000002E-2</v>
      </c>
      <c r="B37" s="3">
        <v>1.022</v>
      </c>
      <c r="C37">
        <f t="shared" si="1"/>
        <v>1.7662061989178065E-3</v>
      </c>
      <c r="D37">
        <f t="shared" si="2"/>
        <v>3.8656387720245721E-3</v>
      </c>
    </row>
    <row r="38" spans="1:4" x14ac:dyDescent="0.2">
      <c r="A38" s="3">
        <f t="shared" si="0"/>
        <v>2.4000000000000021E-2</v>
      </c>
      <c r="B38" s="3">
        <v>1.024</v>
      </c>
      <c r="C38">
        <f t="shared" ref="C38:D53" si="3">((2*C$19)/C$20)*($B38^(C$20-1)-$B38^(-1-C$20/2))</f>
        <v>2.0809215664593247E-3</v>
      </c>
      <c r="D38">
        <f t="shared" si="3"/>
        <v>5.1986547959174271E-3</v>
      </c>
    </row>
    <row r="39" spans="1:4" x14ac:dyDescent="0.2">
      <c r="A39" s="3">
        <f t="shared" si="0"/>
        <v>2.6000000000000023E-2</v>
      </c>
      <c r="B39" s="3">
        <v>1.026</v>
      </c>
      <c r="C39">
        <f t="shared" si="3"/>
        <v>2.4414902283808769E-3</v>
      </c>
      <c r="D39">
        <f t="shared" si="3"/>
        <v>6.9808228499825837E-3</v>
      </c>
    </row>
    <row r="40" spans="1:4" x14ac:dyDescent="0.2">
      <c r="A40" s="3">
        <f t="shared" si="0"/>
        <v>2.8000000000000025E-2</v>
      </c>
      <c r="B40" s="3">
        <v>1.028</v>
      </c>
      <c r="C40">
        <f t="shared" si="3"/>
        <v>2.8550862305068902E-3</v>
      </c>
      <c r="D40">
        <f t="shared" si="3"/>
        <v>9.3630208939409088E-3</v>
      </c>
    </row>
    <row r="41" spans="1:4" x14ac:dyDescent="0.2">
      <c r="A41" s="3">
        <f t="shared" si="0"/>
        <v>3.0000000000000027E-2</v>
      </c>
      <c r="B41" s="3">
        <v>1.03</v>
      </c>
      <c r="C41">
        <f t="shared" si="3"/>
        <v>3.3299412337665949E-3</v>
      </c>
      <c r="D41">
        <f t="shared" si="3"/>
        <v>1.2546232999805063E-2</v>
      </c>
    </row>
    <row r="42" spans="1:4" x14ac:dyDescent="0.2">
      <c r="A42" s="3">
        <f t="shared" si="0"/>
        <v>3.2000000000000028E-2</v>
      </c>
      <c r="B42" s="3">
        <v>1.032</v>
      </c>
      <c r="C42">
        <f t="shared" si="3"/>
        <v>3.8755014080292449E-3</v>
      </c>
      <c r="D42">
        <f t="shared" si="3"/>
        <v>1.679805772907355E-2</v>
      </c>
    </row>
    <row r="43" spans="1:4" x14ac:dyDescent="0.2">
      <c r="A43" s="3">
        <f t="shared" si="0"/>
        <v>3.400000000000003E-2</v>
      </c>
      <c r="B43" s="3">
        <v>1.034</v>
      </c>
      <c r="C43">
        <f t="shared" si="3"/>
        <v>4.5026069494492763E-3</v>
      </c>
      <c r="D43">
        <f t="shared" si="3"/>
        <v>2.247460399686466E-2</v>
      </c>
    </row>
    <row r="44" spans="1:4" x14ac:dyDescent="0.2">
      <c r="A44" s="3">
        <f t="shared" si="0"/>
        <v>3.6000000000000032E-2</v>
      </c>
      <c r="B44" s="3">
        <v>1.036</v>
      </c>
      <c r="C44">
        <f t="shared" si="3"/>
        <v>5.223697451622984E-3</v>
      </c>
      <c r="D44">
        <f t="shared" si="3"/>
        <v>3.0049517069860872E-2</v>
      </c>
    </row>
    <row r="45" spans="1:4" x14ac:dyDescent="0.2">
      <c r="A45" s="3">
        <f t="shared" si="0"/>
        <v>3.8000000000000034E-2</v>
      </c>
      <c r="B45" s="3">
        <v>1.038</v>
      </c>
      <c r="C45">
        <f t="shared" si="3"/>
        <v>6.0530468126758713E-3</v>
      </c>
      <c r="D45">
        <f t="shared" si="3"/>
        <v>4.0152435845919612E-2</v>
      </c>
    </row>
    <row r="46" spans="1:4" x14ac:dyDescent="0.2">
      <c r="A46" s="3">
        <f t="shared" si="0"/>
        <v>4.0000000000000036E-2</v>
      </c>
      <c r="B46" s="3">
        <v>1.04</v>
      </c>
      <c r="C46">
        <f t="shared" si="3"/>
        <v>7.0070318744946038E-3</v>
      </c>
      <c r="D46">
        <f t="shared" si="3"/>
        <v>5.3619918430347545E-2</v>
      </c>
    </row>
    <row r="47" spans="1:4" x14ac:dyDescent="0.2">
      <c r="A47" s="3">
        <f t="shared" si="0"/>
        <v>4.2000000000000037E-2</v>
      </c>
      <c r="B47" s="3">
        <v>1.042</v>
      </c>
      <c r="C47">
        <f t="shared" si="3"/>
        <v>8.1044395751154411E-3</v>
      </c>
      <c r="D47">
        <f t="shared" si="3"/>
        <v>7.1562842065889143E-2</v>
      </c>
    </row>
    <row r="48" spans="1:4" x14ac:dyDescent="0.2">
      <c r="A48" s="3">
        <f t="shared" si="0"/>
        <v>4.4000000000000039E-2</v>
      </c>
      <c r="B48" s="3">
        <v>1.044</v>
      </c>
      <c r="C48">
        <f t="shared" si="3"/>
        <v>9.3668180603283316E-3</v>
      </c>
      <c r="D48">
        <f t="shared" si="3"/>
        <v>9.5455558897702103E-2</v>
      </c>
    </row>
    <row r="49" spans="1:4" x14ac:dyDescent="0.2">
      <c r="A49" s="3">
        <f t="shared" si="0"/>
        <v>4.6000000000000041E-2</v>
      </c>
      <c r="B49" s="3">
        <v>1.046</v>
      </c>
      <c r="C49">
        <f t="shared" si="3"/>
        <v>1.0818877956667779E-2</v>
      </c>
      <c r="D49">
        <f t="shared" si="3"/>
        <v>0.12725376684047265</v>
      </c>
    </row>
    <row r="50" spans="1:4" x14ac:dyDescent="0.2">
      <c r="A50" s="3">
        <f t="shared" si="0"/>
        <v>4.8000000000000043E-2</v>
      </c>
      <c r="B50" s="3">
        <v>1.048</v>
      </c>
      <c r="C50">
        <f t="shared" si="3"/>
        <v>1.2488950867385414E-2</v>
      </c>
      <c r="D50">
        <f t="shared" si="3"/>
        <v>0.16955026073201276</v>
      </c>
    </row>
    <row r="51" spans="1:4" x14ac:dyDescent="0.2">
      <c r="A51" s="3">
        <f t="shared" si="0"/>
        <v>5.0000000000000044E-2</v>
      </c>
      <c r="B51" s="3">
        <v>1.05</v>
      </c>
      <c r="C51">
        <f t="shared" si="3"/>
        <v>1.4409513129602631E-2</v>
      </c>
      <c r="D51">
        <f t="shared" si="3"/>
        <v>0.22578062772663224</v>
      </c>
    </row>
    <row r="52" spans="1:4" x14ac:dyDescent="0.2">
      <c r="A52" s="3">
        <f t="shared" si="0"/>
        <v>5.2000000000000046E-2</v>
      </c>
      <c r="B52" s="3">
        <v>1.052</v>
      </c>
      <c r="C52">
        <f t="shared" si="3"/>
        <v>1.661778398032163E-2</v>
      </c>
      <c r="D52">
        <f t="shared" si="3"/>
        <v>0.30049475812486426</v>
      </c>
    </row>
    <row r="53" spans="1:4" x14ac:dyDescent="0.2">
      <c r="A53" s="3">
        <f t="shared" si="0"/>
        <v>5.4000000000000048E-2</v>
      </c>
      <c r="B53" s="3">
        <v>1.054</v>
      </c>
      <c r="C53">
        <f t="shared" si="3"/>
        <v>1.915640853909515E-2</v>
      </c>
      <c r="D53">
        <f t="shared" si="3"/>
        <v>0.39971504066266056</v>
      </c>
    </row>
    <row r="54" spans="1:4" x14ac:dyDescent="0.2">
      <c r="A54" s="3">
        <f t="shared" si="0"/>
        <v>5.600000000000005E-2</v>
      </c>
      <c r="B54" s="3">
        <v>1.056</v>
      </c>
      <c r="C54">
        <f t="shared" ref="C54:D68" si="4">((2*C$19)/C$20)*($B54^(C$20-1)-$B54^(-1-C$20/2))</f>
        <v>2.207423744601715E-2</v>
      </c>
      <c r="D54">
        <f t="shared" si="4"/>
        <v>0.53140866859938796</v>
      </c>
    </row>
    <row r="55" spans="1:4" x14ac:dyDescent="0.2">
      <c r="A55" s="3">
        <f t="shared" si="0"/>
        <v>5.8000000000000052E-2</v>
      </c>
      <c r="B55" s="3">
        <v>1.0580000000000001</v>
      </c>
      <c r="C55">
        <f t="shared" si="4"/>
        <v>2.5427216618035247E-2</v>
      </c>
      <c r="D55">
        <f t="shared" si="4"/>
        <v>0.70611008191215896</v>
      </c>
    </row>
    <row r="56" spans="1:4" x14ac:dyDescent="0.2">
      <c r="A56" s="3">
        <f t="shared" si="0"/>
        <v>6.0000000000000053E-2</v>
      </c>
      <c r="B56" s="3">
        <v>1.06</v>
      </c>
      <c r="C56">
        <f t="shared" si="4"/>
        <v>2.9279402430110568E-2</v>
      </c>
      <c r="D56">
        <f t="shared" si="4"/>
        <v>0.93774084139108671</v>
      </c>
    </row>
    <row r="57" spans="1:4" x14ac:dyDescent="0.2">
      <c r="A57" s="3">
        <f t="shared" si="0"/>
        <v>6.2000000000000055E-2</v>
      </c>
      <c r="B57" s="3">
        <v>1.0620000000000001</v>
      </c>
      <c r="C57">
        <f t="shared" si="4"/>
        <v>3.3704119719532535E-2</v>
      </c>
      <c r="D57">
        <f t="shared" si="4"/>
        <v>1.2446889948370061</v>
      </c>
    </row>
    <row r="58" spans="1:4" x14ac:dyDescent="0.2">
      <c r="A58" s="3">
        <f t="shared" si="0"/>
        <v>6.4000000000000057E-2</v>
      </c>
      <c r="B58" s="3">
        <v>1.0640000000000001</v>
      </c>
      <c r="C58">
        <f t="shared" si="4"/>
        <v>3.8785282384591481E-2</v>
      </c>
      <c r="D58">
        <f t="shared" si="4"/>
        <v>1.6512293271344338</v>
      </c>
    </row>
    <row r="59" spans="1:4" x14ac:dyDescent="0.2">
      <c r="A59" s="3">
        <f t="shared" si="0"/>
        <v>6.6000000000000059E-2</v>
      </c>
      <c r="B59" s="3">
        <v>1.0660000000000001</v>
      </c>
      <c r="C59">
        <f t="shared" si="4"/>
        <v>4.4618899039956444E-2</v>
      </c>
      <c r="D59">
        <f t="shared" si="4"/>
        <v>2.1893911846007432</v>
      </c>
    </row>
    <row r="60" spans="1:4" x14ac:dyDescent="0.2">
      <c r="A60" s="3">
        <f t="shared" si="0"/>
        <v>6.800000000000006E-2</v>
      </c>
      <c r="B60" s="3">
        <v>1.0680000000000001</v>
      </c>
      <c r="C60">
        <f t="shared" si="4"/>
        <v>5.131478924244999E-2</v>
      </c>
      <c r="D60">
        <f t="shared" si="4"/>
        <v>2.9014136547381941</v>
      </c>
    </row>
    <row r="61" spans="1:4" x14ac:dyDescent="0.2">
      <c r="A61" s="3">
        <f t="shared" si="0"/>
        <v>7.0000000000000062E-2</v>
      </c>
      <c r="B61" s="3">
        <v>1.07</v>
      </c>
      <c r="C61">
        <f t="shared" si="4"/>
        <v>5.8998539259849575E-2</v>
      </c>
      <c r="D61">
        <f t="shared" si="4"/>
        <v>3.8429711434551228</v>
      </c>
    </row>
    <row r="62" spans="1:4" x14ac:dyDescent="0.2">
      <c r="A62" s="3">
        <f t="shared" si="0"/>
        <v>7.2000000000000064E-2</v>
      </c>
      <c r="B62" s="3">
        <v>1.0720000000000001</v>
      </c>
      <c r="C62">
        <f t="shared" si="4"/>
        <v>6.7813730275388909E-2</v>
      </c>
      <c r="D62">
        <f t="shared" si="4"/>
        <v>5.0874089202320096</v>
      </c>
    </row>
    <row r="63" spans="1:4" x14ac:dyDescent="0.2">
      <c r="A63" s="3">
        <f t="shared" si="0"/>
        <v>7.4000000000000066E-2</v>
      </c>
      <c r="B63" s="3">
        <v>1.0740000000000001</v>
      </c>
      <c r="C63">
        <f t="shared" si="4"/>
        <v>7.7924476362212391E-2</v>
      </c>
      <c r="D63">
        <f t="shared" si="4"/>
        <v>6.7313020294464687</v>
      </c>
    </row>
    <row r="64" spans="1:4" x14ac:dyDescent="0.2">
      <c r="A64" s="3">
        <f t="shared" si="0"/>
        <v>7.6000000000000068E-2</v>
      </c>
      <c r="B64" s="3">
        <v>1.0760000000000001</v>
      </c>
      <c r="C64">
        <f t="shared" si="4"/>
        <v>8.9518314593349621E-2</v>
      </c>
      <c r="D64">
        <f t="shared" si="4"/>
        <v>8.90174733902413</v>
      </c>
    </row>
    <row r="65" spans="1:4" x14ac:dyDescent="0.2">
      <c r="A65" s="3">
        <f t="shared" si="0"/>
        <v>7.8000000000000069E-2</v>
      </c>
      <c r="B65" s="3">
        <v>1.0780000000000001</v>
      </c>
      <c r="C65">
        <f t="shared" si="4"/>
        <v>0.10280949535080519</v>
      </c>
      <c r="D65">
        <f t="shared" si="4"/>
        <v>11.765924237848147</v>
      </c>
    </row>
    <row r="66" spans="1:4" x14ac:dyDescent="0.2">
      <c r="A66" s="3">
        <f t="shared" si="0"/>
        <v>8.0000000000000071E-2</v>
      </c>
      <c r="B66" s="3">
        <v>1.08</v>
      </c>
      <c r="C66">
        <f t="shared" si="4"/>
        <v>0.11804272734894083</v>
      </c>
      <c r="D66">
        <f t="shared" si="4"/>
        <v>15.543623468498856</v>
      </c>
    </row>
    <row r="67" spans="1:4" x14ac:dyDescent="0.2">
      <c r="A67" s="3">
        <f t="shared" si="0"/>
        <v>8.2000000000000073E-2</v>
      </c>
      <c r="B67" s="3">
        <v>1.0820000000000001</v>
      </c>
      <c r="C67">
        <f t="shared" si="4"/>
        <v>0.1354974391904322</v>
      </c>
      <c r="D67">
        <f t="shared" si="4"/>
        <v>20.523657312569242</v>
      </c>
    </row>
    <row r="68" spans="1:4" x14ac:dyDescent="0.2">
      <c r="A68" s="3">
        <f t="shared" si="0"/>
        <v>8.4000000000000075E-2</v>
      </c>
      <c r="B68" s="3">
        <v>1.0840000000000001</v>
      </c>
      <c r="C68">
        <f t="shared" si="4"/>
        <v>0.15549262753818896</v>
      </c>
      <c r="D68">
        <f t="shared" si="4"/>
        <v>27.085342792280855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2020-10-19T00:39:30Z</dcterms:modified>
  <cp:category/>
  <cp:contentStatus/>
</cp:coreProperties>
</file>