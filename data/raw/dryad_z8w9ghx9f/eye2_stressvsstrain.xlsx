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27907"/>
  <workbookPr filterPrivacy="1"/>
  <mc:AlternateContent xmlns:mc="http://schemas.openxmlformats.org/markup-compatibility/2006">
    <mc:Choice Requires="x15">
      <x15ac:absPath xmlns:x15ac="http://schemas.microsoft.com/office/spreadsheetml/2010/11/ac" url="/Users/shao-hsuanchang/Desktop/plos one final document/data/"/>
    </mc:Choice>
  </mc:AlternateContent>
  <bookViews>
    <workbookView xWindow="0" yWindow="460" windowWidth="25600" windowHeight="14180"/>
  </bookViews>
  <sheets>
    <sheet name="MC1" sheetId="1" r:id="rId1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59" i="1" l="1"/>
  <c r="A60" i="1"/>
  <c r="A61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C57" i="1"/>
  <c r="D57" i="1"/>
  <c r="C58" i="1"/>
  <c r="D58" i="1"/>
  <c r="C59" i="1"/>
  <c r="D59" i="1"/>
  <c r="C60" i="1"/>
  <c r="D60" i="1"/>
  <c r="C61" i="1"/>
  <c r="D61" i="1"/>
  <c r="C56" i="1"/>
  <c r="D56" i="1"/>
  <c r="C55" i="1"/>
  <c r="D55" i="1"/>
  <c r="C54" i="1"/>
  <c r="D54" i="1"/>
  <c r="C53" i="1"/>
  <c r="D53" i="1"/>
  <c r="C52" i="1"/>
  <c r="D52" i="1"/>
  <c r="A26" i="1"/>
  <c r="C36" i="1"/>
  <c r="C35" i="1"/>
  <c r="N27" i="1"/>
  <c r="C31" i="1"/>
  <c r="C30" i="1"/>
  <c r="N26" i="1"/>
  <c r="D31" i="1"/>
  <c r="D30" i="1"/>
  <c r="O26" i="1"/>
  <c r="N21" i="1"/>
  <c r="D36" i="1"/>
  <c r="D35" i="1"/>
  <c r="O27" i="1"/>
  <c r="N22" i="1"/>
  <c r="D27" i="1"/>
  <c r="D28" i="1"/>
  <c r="D29" i="1"/>
  <c r="D32" i="1"/>
  <c r="D33" i="1"/>
  <c r="D34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27" i="1"/>
  <c r="C29" i="1"/>
  <c r="C28" i="1"/>
  <c r="C32" i="1"/>
  <c r="C33" i="1"/>
  <c r="C34" i="1"/>
  <c r="C37" i="1"/>
</calcChain>
</file>

<file path=xl/sharedStrings.xml><?xml version="1.0" encoding="utf-8"?>
<sst xmlns="http://schemas.openxmlformats.org/spreadsheetml/2006/main" count="16" uniqueCount="12">
  <si>
    <t>Mlim</t>
  </si>
  <si>
    <t>Before</t>
  </si>
  <si>
    <t xml:space="preserve">After </t>
  </si>
  <si>
    <t>Mu1</t>
  </si>
  <si>
    <t>Alpha1</t>
  </si>
  <si>
    <t>E Ratio at 1%</t>
  </si>
  <si>
    <t>E Ratio at 2%</t>
  </si>
  <si>
    <t>Stretch
(lambda)</t>
  </si>
  <si>
    <t>Stress
(MPa)</t>
  </si>
  <si>
    <t>E tangent</t>
  </si>
  <si>
    <t>strain</t>
  </si>
  <si>
    <t>Table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</si>
</sst>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wrapText="1"/>
    </xf>
    <xf numFmtId="164" fontId="0" fillId="0" borderId="0" xfId="0" applyNumberFormat="1"/>
    <xf numFmtId="9" fontId="0" fillId="0" borderId="0" xfId="0" applyNumberFormat="1"/>
    <xf numFmtId="0" fontId="1" fillId="2" borderId="0" xfId="0" applyFont="1" applyFill="1"/>
    <xf numFmtId="0" fontId="0" fillId="2" borderId="0" xfId="0" applyFill="1"/>
    <xf numFmtId="0" fontId="0" fillId="3" borderId="0" xfId="0" applyFill="1"/>
    <xf numFmtId="0" fontId="1" fillId="3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charts/_rels/chart2.xml.rels><?xml version="1.0" encoding="UTF-8" standalone="yes"?>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</Relationships>
</file>

<file path=xl/charts/_rels/chart3.xml.rels><?xml version="1.0" encoding="UTF-8" standalone="yes"?>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marker>
            <c:symbol val="none"/>
          </c:marker>
          <c:xVal>
            <c:numRef>
              <c:f>'MC1'!#REF!</c:f>
            </c:numRef>
          </c:xVal>
          <c:yVal>
            <c:numRef>
              <c:f>'MC1'!#REF!</c:f>
              <c:numCache>
                <c:formatCode>General</c:formatCode>
                <c:ptCount val="1"/>
                <c:pt idx="0">
                  <c:v>1.0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C10F-47B2-8891-BCD59EC0DA17}"/>
            </c:ext>
          </c:extLst>
        </c:ser>
        <c:ser>
          <c:idx val="1"/>
          <c:order val="1"/>
          <c:marker>
            <c:symbol val="none"/>
          </c:marker>
          <c:xVal>
            <c:numRef>
              <c:f>'MC1'!#REF!</c:f>
            </c:numRef>
          </c:xVal>
          <c:yVal>
            <c:numRef>
              <c:f>'MC1'!#REF!</c:f>
              <c:numCache>
                <c:formatCode>General</c:formatCode>
                <c:ptCount val="1"/>
                <c:pt idx="0">
                  <c:v>1.0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C10F-47B2-8891-BCD59EC0DA17}"/>
            </c:ext>
          </c:extLst>
        </c:ser>
        <c:ser>
          <c:idx val="2"/>
          <c:order val="2"/>
          <c:marker>
            <c:symbol val="none"/>
          </c:marker>
          <c:xVal>
            <c:numRef>
              <c:f>'MC1'!#REF!</c:f>
            </c:numRef>
          </c:xVal>
          <c:yVal>
            <c:numRef>
              <c:f>'MC1'!#REF!</c:f>
              <c:numCache>
                <c:formatCode>General</c:formatCode>
                <c:ptCount val="1"/>
                <c:pt idx="0">
                  <c:v>1.0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2-C10F-47B2-8891-BCD59EC0DA17}"/>
            </c:ext>
          </c:extLst>
        </c:ser>
        <c:ser>
          <c:idx val="3"/>
          <c:order val="3"/>
          <c:marker>
            <c:symbol val="none"/>
          </c:marker>
          <c:xVal>
            <c:numRef>
              <c:f>'MC1'!#REF!</c:f>
            </c:numRef>
          </c:xVal>
          <c:yVal>
            <c:numRef>
              <c:f>'MC1'!#REF!</c:f>
              <c:numCache>
                <c:formatCode>General</c:formatCode>
                <c:ptCount val="1"/>
                <c:pt idx="0">
                  <c:v>1.0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3-C10F-47B2-8891-BCD59EC0DA17}"/>
            </c:ext>
          </c:extLst>
        </c:ser>
        <c:ser>
          <c:idx val="4"/>
          <c:order val="4"/>
          <c:marker>
            <c:symbol val="none"/>
          </c:marker>
          <c:xVal>
            <c:numRef>
              <c:f>'MC1'!#REF!</c:f>
            </c:numRef>
          </c:xVal>
          <c:yVal>
            <c:numRef>
              <c:f>'MC1'!#REF!</c:f>
              <c:numCache>
                <c:formatCode>General</c:formatCode>
                <c:ptCount val="1"/>
                <c:pt idx="0">
                  <c:v>1.0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4-C10F-47B2-8891-BCD59EC0DA17}"/>
            </c:ext>
          </c:extLst>
        </c:ser>
        <c:ser>
          <c:idx val="5"/>
          <c:order val="5"/>
          <c:marker>
            <c:symbol val="none"/>
          </c:marker>
          <c:xVal>
            <c:numRef>
              <c:f>'MC1'!#REF!</c:f>
            </c:numRef>
          </c:xVal>
          <c:yVal>
            <c:numRef>
              <c:f>'MC1'!#REF!</c:f>
              <c:numCache>
                <c:formatCode>General</c:formatCode>
                <c:ptCount val="1"/>
                <c:pt idx="0">
                  <c:v>1.0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5-C10F-47B2-8891-BCD59EC0DA17}"/>
            </c:ext>
          </c:extLst>
        </c:ser>
        <c:ser>
          <c:idx val="6"/>
          <c:order val="6"/>
          <c:marker>
            <c:symbol val="none"/>
          </c:marker>
          <c:xVal>
            <c:numRef>
              <c:f>'MC1'!#REF!</c:f>
            </c:numRef>
          </c:xVal>
          <c:yVal>
            <c:numRef>
              <c:f>'MC1'!#REF!</c:f>
              <c:numCache>
                <c:formatCode>General</c:formatCode>
                <c:ptCount val="1"/>
                <c:pt idx="0">
                  <c:v>1.0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6-C10F-47B2-8891-BCD59EC0DA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8254688"/>
        <c:axId val="1248230640"/>
      </c:scatterChart>
      <c:valAx>
        <c:axId val="1248254688"/>
        <c:scaling>
          <c:orientation val="minMax"/>
        </c:scaling>
        <c:delete val="0"/>
        <c:axPos val="b"/>
        <c:numFmt formatCode="0.000" sourceLinked="1"/>
        <c:majorTickMark val="out"/>
        <c:minorTickMark val="none"/>
        <c:tickLblPos val="nextTo"/>
        <c:crossAx val="1248230640"/>
        <c:crosses val="autoZero"/>
        <c:crossBetween val="midCat"/>
      </c:valAx>
      <c:valAx>
        <c:axId val="124823064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24825468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Eye 2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'MC1'!$C$24</c:f>
              <c:strCache>
                <c:ptCount val="1"/>
                <c:pt idx="0">
                  <c:v>Before</c:v>
                </c:pt>
              </c:strCache>
            </c:strRef>
          </c:tx>
          <c:spPr>
            <a:ln w="4762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'MC1'!$A$26:$A$60</c:f>
              <c:numCache>
                <c:formatCode>0.000</c:formatCode>
                <c:ptCount val="35"/>
                <c:pt idx="0">
                  <c:v>0.0</c:v>
                </c:pt>
                <c:pt idx="1">
                  <c:v>0.002</c:v>
                </c:pt>
                <c:pt idx="2">
                  <c:v>0.004</c:v>
                </c:pt>
                <c:pt idx="3">
                  <c:v>0.006</c:v>
                </c:pt>
                <c:pt idx="4">
                  <c:v>0.00800000000000001</c:v>
                </c:pt>
                <c:pt idx="5">
                  <c:v>0.01</c:v>
                </c:pt>
                <c:pt idx="6">
                  <c:v>0.012</c:v>
                </c:pt>
                <c:pt idx="7">
                  <c:v>0.014</c:v>
                </c:pt>
                <c:pt idx="8">
                  <c:v>0.016</c:v>
                </c:pt>
                <c:pt idx="9">
                  <c:v>0.018</c:v>
                </c:pt>
                <c:pt idx="10">
                  <c:v>0.02</c:v>
                </c:pt>
                <c:pt idx="11">
                  <c:v>0.022</c:v>
                </c:pt>
                <c:pt idx="12">
                  <c:v>0.024</c:v>
                </c:pt>
                <c:pt idx="13">
                  <c:v>0.026</c:v>
                </c:pt>
                <c:pt idx="14">
                  <c:v>0.028</c:v>
                </c:pt>
                <c:pt idx="15">
                  <c:v>0.03</c:v>
                </c:pt>
                <c:pt idx="16">
                  <c:v>0.032</c:v>
                </c:pt>
                <c:pt idx="17">
                  <c:v>0.034</c:v>
                </c:pt>
                <c:pt idx="18">
                  <c:v>0.036</c:v>
                </c:pt>
                <c:pt idx="19">
                  <c:v>0.038</c:v>
                </c:pt>
                <c:pt idx="20">
                  <c:v>0.04</c:v>
                </c:pt>
                <c:pt idx="21">
                  <c:v>0.042</c:v>
                </c:pt>
                <c:pt idx="22">
                  <c:v>0.044</c:v>
                </c:pt>
                <c:pt idx="23">
                  <c:v>0.046</c:v>
                </c:pt>
                <c:pt idx="24">
                  <c:v>0.048</c:v>
                </c:pt>
                <c:pt idx="25">
                  <c:v>0.05</c:v>
                </c:pt>
                <c:pt idx="26">
                  <c:v>0.052</c:v>
                </c:pt>
                <c:pt idx="27">
                  <c:v>0.054</c:v>
                </c:pt>
                <c:pt idx="28">
                  <c:v>0.056</c:v>
                </c:pt>
                <c:pt idx="29">
                  <c:v>0.058</c:v>
                </c:pt>
                <c:pt idx="30">
                  <c:v>0.06</c:v>
                </c:pt>
                <c:pt idx="31">
                  <c:v>0.062</c:v>
                </c:pt>
                <c:pt idx="32">
                  <c:v>0.064</c:v>
                </c:pt>
                <c:pt idx="33">
                  <c:v>0.066</c:v>
                </c:pt>
                <c:pt idx="34">
                  <c:v>0.068</c:v>
                </c:pt>
              </c:numCache>
            </c:numRef>
          </c:xVal>
          <c:yVal>
            <c:numRef>
              <c:f>'MC1'!$C$26:$C$60</c:f>
              <c:numCache>
                <c:formatCode>General</c:formatCode>
                <c:ptCount val="35"/>
                <c:pt idx="0">
                  <c:v>0.0</c:v>
                </c:pt>
                <c:pt idx="1">
                  <c:v>6.16331555902968E-5</c:v>
                </c:pt>
                <c:pt idx="2">
                  <c:v>0.000126924839945132</c:v>
                </c:pt>
                <c:pt idx="3">
                  <c:v>0.000196502594911539</c:v>
                </c:pt>
                <c:pt idx="4">
                  <c:v>0.000271051506436376</c:v>
                </c:pt>
                <c:pt idx="5">
                  <c:v>0.00035132131749905</c:v>
                </c:pt>
                <c:pt idx="6">
                  <c:v>0.000438134253053662</c:v>
                </c:pt>
                <c:pt idx="7">
                  <c:v>0.000532393635218322</c:v>
                </c:pt>
                <c:pt idx="8">
                  <c:v>0.000635093374755109</c:v>
                </c:pt>
                <c:pt idx="9">
                  <c:v>0.000747328433490543</c:v>
                </c:pt>
                <c:pt idx="10">
                  <c:v>0.00087030636181078</c:v>
                </c:pt>
                <c:pt idx="11">
                  <c:v>0.00100536002581316</c:v>
                </c:pt>
                <c:pt idx="12">
                  <c:v>0.00115396165019921</c:v>
                </c:pt>
                <c:pt idx="13">
                  <c:v>0.00131773831565607</c:v>
                </c:pt>
                <c:pt idx="14">
                  <c:v>0.00149848906340516</c:v>
                </c:pt>
                <c:pt idx="15">
                  <c:v>0.00169820377492199</c:v>
                </c:pt>
                <c:pt idx="16">
                  <c:v>0.00191908401168282</c:v>
                </c:pt>
                <c:pt idx="17">
                  <c:v>0.0021635660183204</c:v>
                </c:pt>
                <c:pt idx="18">
                  <c:v>0.00243434611293276</c:v>
                </c:pt>
                <c:pt idx="19">
                  <c:v>0.00273440871066257</c:v>
                </c:pt>
                <c:pt idx="20">
                  <c:v>0.00306705725124265</c:v>
                </c:pt>
                <c:pt idx="21">
                  <c:v>0.00343594832819763</c:v>
                </c:pt>
                <c:pt idx="22">
                  <c:v>0.00384512934703222</c:v>
                </c:pt>
                <c:pt idx="23">
                  <c:v>0.00429908007227749</c:v>
                </c:pt>
                <c:pt idx="24">
                  <c:v>0.00480275845898221</c:v>
                </c:pt>
                <c:pt idx="25">
                  <c:v>0.00536165120343044</c:v>
                </c:pt>
                <c:pt idx="26">
                  <c:v>0.00598182949086861</c:v>
                </c:pt>
                <c:pt idx="27">
                  <c:v>0.00667001046519553</c:v>
                </c:pt>
                <c:pt idx="28">
                  <c:v>0.00743362499730288</c:v>
                </c:pt>
                <c:pt idx="29">
                  <c:v>0.00828089238548132</c:v>
                </c:pt>
                <c:pt idx="30">
                  <c:v>0.00922090268349898</c:v>
                </c:pt>
                <c:pt idx="31">
                  <c:v>0.0102637074201301</c:v>
                </c:pt>
                <c:pt idx="32">
                  <c:v>0.0114204195486206</c:v>
                </c:pt>
                <c:pt idx="33">
                  <c:v>0.0127033235464404</c:v>
                </c:pt>
                <c:pt idx="34">
                  <c:v>0.0141259966753543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A999-43B6-B93E-E95AFE34F62E}"/>
            </c:ext>
          </c:extLst>
        </c:ser>
        <c:ser>
          <c:idx val="1"/>
          <c:order val="1"/>
          <c:tx>
            <c:strRef>
              <c:f>'MC1'!$D$24</c:f>
              <c:strCache>
                <c:ptCount val="1"/>
                <c:pt idx="0">
                  <c:v>After </c:v>
                </c:pt>
              </c:strCache>
            </c:strRef>
          </c:tx>
          <c:spPr>
            <a:ln w="4762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'MC1'!$A$26:$A$51</c:f>
              <c:numCache>
                <c:formatCode>0.000</c:formatCode>
                <c:ptCount val="26"/>
                <c:pt idx="0">
                  <c:v>0.0</c:v>
                </c:pt>
                <c:pt idx="1">
                  <c:v>0.002</c:v>
                </c:pt>
                <c:pt idx="2">
                  <c:v>0.004</c:v>
                </c:pt>
                <c:pt idx="3">
                  <c:v>0.006</c:v>
                </c:pt>
                <c:pt idx="4">
                  <c:v>0.00800000000000001</c:v>
                </c:pt>
                <c:pt idx="5">
                  <c:v>0.01</c:v>
                </c:pt>
                <c:pt idx="6">
                  <c:v>0.012</c:v>
                </c:pt>
                <c:pt idx="7">
                  <c:v>0.014</c:v>
                </c:pt>
                <c:pt idx="8">
                  <c:v>0.016</c:v>
                </c:pt>
                <c:pt idx="9">
                  <c:v>0.018</c:v>
                </c:pt>
                <c:pt idx="10">
                  <c:v>0.02</c:v>
                </c:pt>
                <c:pt idx="11">
                  <c:v>0.022</c:v>
                </c:pt>
                <c:pt idx="12">
                  <c:v>0.024</c:v>
                </c:pt>
                <c:pt idx="13">
                  <c:v>0.026</c:v>
                </c:pt>
                <c:pt idx="14">
                  <c:v>0.028</c:v>
                </c:pt>
                <c:pt idx="15">
                  <c:v>0.03</c:v>
                </c:pt>
                <c:pt idx="16">
                  <c:v>0.032</c:v>
                </c:pt>
                <c:pt idx="17">
                  <c:v>0.034</c:v>
                </c:pt>
                <c:pt idx="18">
                  <c:v>0.036</c:v>
                </c:pt>
                <c:pt idx="19">
                  <c:v>0.038</c:v>
                </c:pt>
                <c:pt idx="20">
                  <c:v>0.04</c:v>
                </c:pt>
                <c:pt idx="21">
                  <c:v>0.042</c:v>
                </c:pt>
                <c:pt idx="22">
                  <c:v>0.044</c:v>
                </c:pt>
                <c:pt idx="23">
                  <c:v>0.046</c:v>
                </c:pt>
                <c:pt idx="24">
                  <c:v>0.048</c:v>
                </c:pt>
                <c:pt idx="25">
                  <c:v>0.05</c:v>
                </c:pt>
              </c:numCache>
            </c:numRef>
          </c:xVal>
          <c:yVal>
            <c:numRef>
              <c:f>'MC1'!$D$26:$D$51</c:f>
              <c:numCache>
                <c:formatCode>General</c:formatCode>
                <c:ptCount val="26"/>
                <c:pt idx="0">
                  <c:v>0.0</c:v>
                </c:pt>
                <c:pt idx="1">
                  <c:v>8.64252725947647E-5</c:v>
                </c:pt>
                <c:pt idx="2">
                  <c:v>0.000179825553962407</c:v>
                </c:pt>
                <c:pt idx="3">
                  <c:v>0.000281712841120912</c:v>
                </c:pt>
                <c:pt idx="4">
                  <c:v>0.00039378793056344</c:v>
                </c:pt>
                <c:pt idx="5">
                  <c:v>0.000517970625276078</c:v>
                </c:pt>
                <c:pt idx="6">
                  <c:v>0.000656434050842201</c:v>
                </c:pt>
                <c:pt idx="7">
                  <c:v>0.000811643676441554</c:v>
                </c:pt>
                <c:pt idx="8">
                  <c:v>0.000986401717524633</c:v>
                </c:pt>
                <c:pt idx="9">
                  <c:v>0.00118389768904442</c:v>
                </c:pt>
                <c:pt idx="10">
                  <c:v>0.00140776598283346</c:v>
                </c:pt>
                <c:pt idx="11">
                  <c:v>0.00166215146169494</c:v>
                </c:pt>
                <c:pt idx="12">
                  <c:v>0.00195178419792074</c:v>
                </c:pt>
                <c:pt idx="13">
                  <c:v>0.00228206463739537</c:v>
                </c:pt>
                <c:pt idx="14">
                  <c:v>0.00265916064460747</c:v>
                </c:pt>
                <c:pt idx="15">
                  <c:v>0.00309011808150155</c:v>
                </c:pt>
                <c:pt idx="16">
                  <c:v>0.00358298679724886</c:v>
                </c:pt>
                <c:pt idx="17">
                  <c:v>0.00414696416018265</c:v>
                </c:pt>
                <c:pt idx="18">
                  <c:v>0.00479255855126847</c:v>
                </c:pt>
                <c:pt idx="19">
                  <c:v>0.00553177556500961</c:v>
                </c:pt>
                <c:pt idx="20">
                  <c:v>0.00637833003363989</c:v>
                </c:pt>
                <c:pt idx="21">
                  <c:v>0.00734788740949522</c:v>
                </c:pt>
                <c:pt idx="22">
                  <c:v>0.00845833851496933</c:v>
                </c:pt>
                <c:pt idx="23">
                  <c:v>0.00973011220665841</c:v>
                </c:pt>
                <c:pt idx="24">
                  <c:v>0.0111865311083095</c:v>
                </c:pt>
                <c:pt idx="25">
                  <c:v>0.0128542162551734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A999-43B6-B93E-E95AFE34F6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8468192"/>
        <c:axId val="1248471312"/>
      </c:scatterChart>
      <c:valAx>
        <c:axId val="12484681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Strain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8471312"/>
        <c:crosses val="autoZero"/>
        <c:crossBetween val="midCat"/>
      </c:valAx>
      <c:valAx>
        <c:axId val="12484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Stress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84681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'MC1'!$N$25</c:f>
              <c:strCache>
                <c:ptCount val="1"/>
                <c:pt idx="0">
                  <c:v>Before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val>
            <c:numRef>
              <c:f>'MC1'!$N$26:$O$26</c:f>
              <c:numCache>
                <c:formatCode>General</c:formatCode>
                <c:ptCount val="2"/>
                <c:pt idx="0">
                  <c:v>0.0401349055313367</c:v>
                </c:pt>
                <c:pt idx="1">
                  <c:v>0.0620913473563186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CDB-4621-8134-2ABEA729E8F0}"/>
            </c:ext>
          </c:extLst>
        </c:ser>
        <c:ser>
          <c:idx val="1"/>
          <c:order val="1"/>
          <c:tx>
            <c:strRef>
              <c:f>'MC1'!$O$25</c:f>
              <c:strCache>
                <c:ptCount val="1"/>
                <c:pt idx="0">
                  <c:v>After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val>
            <c:numRef>
              <c:f>'MC1'!$N$27:$O$27</c:f>
              <c:numCache>
                <c:formatCode>General</c:formatCode>
                <c:ptCount val="2"/>
                <c:pt idx="0">
                  <c:v>0.0614889641601184</c:v>
                </c:pt>
                <c:pt idx="1">
                  <c:v>0.111934146894524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4CDB-4621-8134-2ABEA729E8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270890416"/>
        <c:axId val="1231530896"/>
        <c:axId val="0"/>
      </c:bar3DChart>
      <c:catAx>
        <c:axId val="12708904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strain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1530896"/>
        <c:crosses val="autoZero"/>
        <c:auto val="1"/>
        <c:lblAlgn val="ctr"/>
        <c:lblOffset val="100"/>
        <c:noMultiLvlLbl val="0"/>
      </c:catAx>
      <c:valAx>
        <c:axId val="1231530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 Tangent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0890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1</xdr:col>
      <xdr:colOff>0</xdr:colOff>
      <xdr:row>16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158750</xdr:colOff>
      <xdr:row>2</xdr:row>
      <xdr:rowOff>0</xdr:rowOff>
    </xdr:from>
    <xdr:to>
      <xdr:col>7</xdr:col>
      <xdr:colOff>458932</xdr:colOff>
      <xdr:row>16</xdr:row>
      <xdr:rowOff>116609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549853</xdr:colOff>
      <xdr:row>2</xdr:row>
      <xdr:rowOff>28287</xdr:rowOff>
    </xdr:from>
    <xdr:to>
      <xdr:col>16</xdr:col>
      <xdr:colOff>186171</xdr:colOff>
      <xdr:row>16</xdr:row>
      <xdr:rowOff>144896</xdr:rowOff>
    </xdr:to>
    <xdr:graphicFrame macro="">
      <xdr:nvGraphicFramePr>
        <xdr:cNvPr id="8" name="Chart 7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1"/>
  <sheetViews>
    <sheetView tabSelected="1" zoomScale="88" zoomScaleNormal="116" zoomScalePageLayoutView="116" workbookViewId="0">
      <selection sqref="A1:Q1"/>
    </sheetView>
  </sheetViews>
  <sheetFormatPr baseColWidth="10" defaultColWidth="8.83203125" defaultRowHeight="15" x14ac:dyDescent="0.2"/>
  <cols>
    <col min="4" max="4" width="11.5" bestFit="1" customWidth="1"/>
    <col min="13" max="13" width="11.33203125" bestFit="1" customWidth="1"/>
  </cols>
  <sheetData>
    <row r="1" spans="1:17" ht="21" x14ac:dyDescent="0.25">
      <c r="A1" s="9" t="s">
        <v>11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</row>
    <row r="17" spans="1:15" x14ac:dyDescent="0.2">
      <c r="B17" t="s">
        <v>0</v>
      </c>
    </row>
    <row r="18" spans="1:15" x14ac:dyDescent="0.2">
      <c r="B18" s="7"/>
      <c r="C18" s="8" t="s">
        <v>1</v>
      </c>
      <c r="D18" s="8" t="s">
        <v>2</v>
      </c>
      <c r="E18" s="1"/>
      <c r="F18" s="1"/>
      <c r="G18" s="1"/>
      <c r="H18" s="1"/>
      <c r="I18" s="1"/>
      <c r="J18" s="1"/>
      <c r="K18" s="1"/>
    </row>
    <row r="19" spans="1:15" x14ac:dyDescent="0.2">
      <c r="B19" s="5" t="s">
        <v>3</v>
      </c>
      <c r="C19" s="6">
        <v>0.01</v>
      </c>
      <c r="D19" s="6">
        <v>1.3899999999999999E-2</v>
      </c>
    </row>
    <row r="20" spans="1:15" x14ac:dyDescent="0.2">
      <c r="B20" s="5" t="s">
        <v>4</v>
      </c>
      <c r="C20" s="6">
        <v>57.305</v>
      </c>
      <c r="D20" s="6">
        <v>73.310100000000006</v>
      </c>
    </row>
    <row r="21" spans="1:15" x14ac:dyDescent="0.2">
      <c r="B21" s="1"/>
      <c r="M21" t="s">
        <v>5</v>
      </c>
      <c r="N21">
        <f>O26/N26</f>
        <v>1.5470659899233783</v>
      </c>
    </row>
    <row r="22" spans="1:15" x14ac:dyDescent="0.2">
      <c r="B22" s="1"/>
      <c r="M22" t="s">
        <v>6</v>
      </c>
      <c r="N22">
        <f>O27/N27</f>
        <v>1.8203940889790449</v>
      </c>
    </row>
    <row r="24" spans="1:15" x14ac:dyDescent="0.2">
      <c r="C24" t="s">
        <v>1</v>
      </c>
      <c r="D24" t="s">
        <v>2</v>
      </c>
    </row>
    <row r="25" spans="1:15" ht="30" x14ac:dyDescent="0.2">
      <c r="A25" t="s">
        <v>10</v>
      </c>
      <c r="B25" s="2" t="s">
        <v>7</v>
      </c>
      <c r="C25" s="2" t="s">
        <v>8</v>
      </c>
      <c r="D25" s="2"/>
      <c r="M25" t="s">
        <v>9</v>
      </c>
      <c r="N25" t="s">
        <v>1</v>
      </c>
      <c r="O25" t="s">
        <v>2</v>
      </c>
    </row>
    <row r="26" spans="1:15" x14ac:dyDescent="0.2">
      <c r="A26" s="3">
        <f>B26-1</f>
        <v>0</v>
      </c>
      <c r="B26" s="3">
        <v>1</v>
      </c>
      <c r="C26">
        <v>0</v>
      </c>
      <c r="D26">
        <v>0</v>
      </c>
      <c r="M26" s="4">
        <v>0.01</v>
      </c>
      <c r="N26">
        <f>(C31-C30)/($B$31-$B$30)</f>
        <v>4.0134905531336668E-2</v>
      </c>
      <c r="O26">
        <f>(D31-D30)/($B$31-$B$30)</f>
        <v>6.2091347356318632E-2</v>
      </c>
    </row>
    <row r="27" spans="1:15" x14ac:dyDescent="0.2">
      <c r="A27" s="3">
        <f t="shared" ref="A27:A61" si="0">B27-1</f>
        <v>2.0000000000000018E-3</v>
      </c>
      <c r="B27" s="3">
        <v>1.002</v>
      </c>
      <c r="C27">
        <f t="shared" ref="C27:C37" si="1">((2*C$19)/C$20)*($B27^(C$20-1)-$B27^(-1-C$20/2))</f>
        <v>6.1633155590296761E-5</v>
      </c>
      <c r="D27">
        <f t="shared" ref="D27:D37" si="2">((2*D$19)/D$20)*($B27^(D$20-1)-$B27^(-1-D$20/2))</f>
        <v>8.6425272594764727E-5</v>
      </c>
      <c r="M27" s="4">
        <v>0.02</v>
      </c>
      <c r="N27">
        <f>(C36-C35)/($B$36-$B$35)</f>
        <v>6.1488964160118446E-2</v>
      </c>
      <c r="O27">
        <f>(D36-D35)/($B$36-$B$35)</f>
        <v>0.11193414689452395</v>
      </c>
    </row>
    <row r="28" spans="1:15" x14ac:dyDescent="0.2">
      <c r="A28" s="3">
        <f t="shared" si="0"/>
        <v>4.0000000000000036E-3</v>
      </c>
      <c r="B28" s="3">
        <v>1.004</v>
      </c>
      <c r="C28">
        <f t="shared" si="1"/>
        <v>1.2692483994513197E-4</v>
      </c>
      <c r="D28">
        <f t="shared" si="2"/>
        <v>1.7982555396240692E-4</v>
      </c>
    </row>
    <row r="29" spans="1:15" x14ac:dyDescent="0.2">
      <c r="A29" s="3">
        <f t="shared" si="0"/>
        <v>6.0000000000000053E-3</v>
      </c>
      <c r="B29" s="3">
        <v>1.006</v>
      </c>
      <c r="C29">
        <f t="shared" si="1"/>
        <v>1.9650259491153934E-4</v>
      </c>
      <c r="D29">
        <f t="shared" si="2"/>
        <v>2.8171284112091228E-4</v>
      </c>
    </row>
    <row r="30" spans="1:15" x14ac:dyDescent="0.2">
      <c r="A30" s="3">
        <f t="shared" si="0"/>
        <v>8.0000000000000071E-3</v>
      </c>
      <c r="B30" s="3">
        <v>1.008</v>
      </c>
      <c r="C30">
        <f t="shared" si="1"/>
        <v>2.7105150643637658E-4</v>
      </c>
      <c r="D30">
        <f t="shared" si="2"/>
        <v>3.9378793056344058E-4</v>
      </c>
    </row>
    <row r="31" spans="1:15" x14ac:dyDescent="0.2">
      <c r="A31" s="3">
        <f t="shared" si="0"/>
        <v>1.0000000000000009E-2</v>
      </c>
      <c r="B31" s="3">
        <v>1.01</v>
      </c>
      <c r="C31">
        <f t="shared" si="1"/>
        <v>3.5132131749904998E-4</v>
      </c>
      <c r="D31">
        <f t="shared" si="2"/>
        <v>5.1797062527607796E-4</v>
      </c>
    </row>
    <row r="32" spans="1:15" x14ac:dyDescent="0.2">
      <c r="A32" s="3">
        <f t="shared" si="0"/>
        <v>1.2000000000000011E-2</v>
      </c>
      <c r="B32" s="3">
        <v>1.012</v>
      </c>
      <c r="C32">
        <f t="shared" si="1"/>
        <v>4.3813425305366213E-4</v>
      </c>
      <c r="D32">
        <f t="shared" si="2"/>
        <v>6.5643405084220134E-4</v>
      </c>
    </row>
    <row r="33" spans="1:4" x14ac:dyDescent="0.2">
      <c r="A33" s="3">
        <f t="shared" si="0"/>
        <v>1.4000000000000012E-2</v>
      </c>
      <c r="B33" s="3">
        <v>1.014</v>
      </c>
      <c r="C33">
        <f t="shared" si="1"/>
        <v>5.3239363521832167E-4</v>
      </c>
      <c r="D33">
        <f t="shared" si="2"/>
        <v>8.116436764415547E-4</v>
      </c>
    </row>
    <row r="34" spans="1:4" x14ac:dyDescent="0.2">
      <c r="A34" s="3">
        <f t="shared" si="0"/>
        <v>1.6000000000000014E-2</v>
      </c>
      <c r="B34" s="3">
        <v>1.016</v>
      </c>
      <c r="C34">
        <f t="shared" si="1"/>
        <v>6.3509337475510953E-4</v>
      </c>
      <c r="D34">
        <f t="shared" si="2"/>
        <v>9.8640171752463327E-4</v>
      </c>
    </row>
    <row r="35" spans="1:4" x14ac:dyDescent="0.2">
      <c r="A35" s="3">
        <f t="shared" si="0"/>
        <v>1.8000000000000016E-2</v>
      </c>
      <c r="B35" s="3">
        <v>1.018</v>
      </c>
      <c r="C35">
        <f t="shared" si="1"/>
        <v>7.473284334905436E-4</v>
      </c>
      <c r="D35">
        <f t="shared" si="2"/>
        <v>1.1838976890444163E-3</v>
      </c>
    </row>
    <row r="36" spans="1:4" x14ac:dyDescent="0.2">
      <c r="A36" s="3">
        <f t="shared" si="0"/>
        <v>2.0000000000000018E-2</v>
      </c>
      <c r="B36" s="3">
        <v>1.02</v>
      </c>
      <c r="C36">
        <f>((2*C$19)/C$20)*($B36^(C$20-1)-$B36^(-1-C$20/2))</f>
        <v>8.7030636181078061E-4</v>
      </c>
      <c r="D36">
        <f t="shared" si="2"/>
        <v>1.4077659828334644E-3</v>
      </c>
    </row>
    <row r="37" spans="1:4" x14ac:dyDescent="0.2">
      <c r="A37" s="3">
        <f t="shared" si="0"/>
        <v>2.200000000000002E-2</v>
      </c>
      <c r="B37" s="3">
        <v>1.022</v>
      </c>
      <c r="C37">
        <f t="shared" si="1"/>
        <v>1.0053600258131583E-3</v>
      </c>
      <c r="D37">
        <f t="shared" si="2"/>
        <v>1.662151461694945E-3</v>
      </c>
    </row>
    <row r="38" spans="1:4" x14ac:dyDescent="0.2">
      <c r="A38" s="3">
        <f t="shared" si="0"/>
        <v>2.4000000000000021E-2</v>
      </c>
      <c r="B38" s="3">
        <v>1.024</v>
      </c>
      <c r="C38">
        <f t="shared" ref="C38:D57" si="3">((2*C$19)/C$20)*($B38^(C$20-1)-$B38^(-1-C$20/2))</f>
        <v>1.1539616501992111E-3</v>
      </c>
      <c r="D38">
        <f t="shared" si="3"/>
        <v>1.9517841979207356E-3</v>
      </c>
    </row>
    <row r="39" spans="1:4" x14ac:dyDescent="0.2">
      <c r="A39" s="3">
        <f t="shared" si="0"/>
        <v>2.6000000000000023E-2</v>
      </c>
      <c r="B39" s="3">
        <v>1.026</v>
      </c>
      <c r="C39">
        <f t="shared" si="3"/>
        <v>1.3177383156560674E-3</v>
      </c>
      <c r="D39">
        <f t="shared" si="3"/>
        <v>2.2820646373953686E-3</v>
      </c>
    </row>
    <row r="40" spans="1:4" x14ac:dyDescent="0.2">
      <c r="A40" s="3">
        <f t="shared" si="0"/>
        <v>2.8000000000000025E-2</v>
      </c>
      <c r="B40" s="3">
        <v>1.028</v>
      </c>
      <c r="C40">
        <f t="shared" si="3"/>
        <v>1.4984890634051576E-3</v>
      </c>
      <c r="D40">
        <f t="shared" si="3"/>
        <v>2.6591606446074697E-3</v>
      </c>
    </row>
    <row r="41" spans="1:4" x14ac:dyDescent="0.2">
      <c r="A41" s="3">
        <f t="shared" si="0"/>
        <v>3.0000000000000027E-2</v>
      </c>
      <c r="B41" s="3">
        <v>1.03</v>
      </c>
      <c r="C41">
        <f t="shared" si="3"/>
        <v>1.6982037749219898E-3</v>
      </c>
      <c r="D41">
        <f t="shared" si="3"/>
        <v>3.0901180815015501E-3</v>
      </c>
    </row>
    <row r="42" spans="1:4" x14ac:dyDescent="0.2">
      <c r="A42" s="3">
        <f t="shared" si="0"/>
        <v>3.2000000000000028E-2</v>
      </c>
      <c r="B42" s="3">
        <v>1.032</v>
      </c>
      <c r="C42">
        <f t="shared" si="3"/>
        <v>1.9190840116828181E-3</v>
      </c>
      <c r="D42">
        <f t="shared" si="3"/>
        <v>3.5829867972488562E-3</v>
      </c>
    </row>
    <row r="43" spans="1:4" x14ac:dyDescent="0.2">
      <c r="A43" s="3">
        <f t="shared" si="0"/>
        <v>3.400000000000003E-2</v>
      </c>
      <c r="B43" s="3">
        <v>1.034</v>
      </c>
      <c r="C43">
        <f t="shared" si="3"/>
        <v>2.1635660183203956E-3</v>
      </c>
      <c r="D43">
        <f t="shared" si="3"/>
        <v>4.1469641601826488E-3</v>
      </c>
    </row>
    <row r="44" spans="1:4" x14ac:dyDescent="0.2">
      <c r="A44" s="3">
        <f t="shared" si="0"/>
        <v>3.6000000000000032E-2</v>
      </c>
      <c r="B44" s="3">
        <v>1.036</v>
      </c>
      <c r="C44">
        <f t="shared" si="3"/>
        <v>2.4343461129327591E-3</v>
      </c>
      <c r="D44">
        <f t="shared" si="3"/>
        <v>4.7925585512684759E-3</v>
      </c>
    </row>
    <row r="45" spans="1:4" x14ac:dyDescent="0.2">
      <c r="A45" s="3">
        <f t="shared" si="0"/>
        <v>3.8000000000000034E-2</v>
      </c>
      <c r="B45" s="3">
        <v>1.038</v>
      </c>
      <c r="C45">
        <f t="shared" si="3"/>
        <v>2.7344087106625672E-3</v>
      </c>
      <c r="D45">
        <f t="shared" si="3"/>
        <v>5.5317755650096069E-3</v>
      </c>
    </row>
    <row r="46" spans="1:4" x14ac:dyDescent="0.2">
      <c r="A46" s="3">
        <f t="shared" si="0"/>
        <v>4.0000000000000036E-2</v>
      </c>
      <c r="B46" s="3">
        <v>1.04</v>
      </c>
      <c r="C46">
        <f t="shared" si="3"/>
        <v>3.0670572512426532E-3</v>
      </c>
      <c r="D46">
        <f t="shared" si="3"/>
        <v>6.3783300336398892E-3</v>
      </c>
    </row>
    <row r="47" spans="1:4" x14ac:dyDescent="0.2">
      <c r="A47" s="3">
        <f t="shared" si="0"/>
        <v>4.2000000000000037E-2</v>
      </c>
      <c r="B47" s="3">
        <v>1.042</v>
      </c>
      <c r="C47">
        <f t="shared" si="3"/>
        <v>3.4359483281976269E-3</v>
      </c>
      <c r="D47">
        <f t="shared" si="3"/>
        <v>7.3478874094952251E-3</v>
      </c>
    </row>
    <row r="48" spans="1:4" x14ac:dyDescent="0.2">
      <c r="A48" s="3">
        <f t="shared" si="0"/>
        <v>4.4000000000000039E-2</v>
      </c>
      <c r="B48" s="3">
        <v>1.044</v>
      </c>
      <c r="C48">
        <f t="shared" si="3"/>
        <v>3.8451293470322168E-3</v>
      </c>
      <c r="D48">
        <f t="shared" si="3"/>
        <v>8.4583385149693321E-3</v>
      </c>
    </row>
    <row r="49" spans="1:4" x14ac:dyDescent="0.2">
      <c r="A49" s="3">
        <f t="shared" si="0"/>
        <v>4.6000000000000041E-2</v>
      </c>
      <c r="B49" s="3">
        <v>1.046</v>
      </c>
      <c r="C49">
        <f t="shared" si="3"/>
        <v>4.2990800722774959E-3</v>
      </c>
      <c r="D49">
        <f t="shared" si="3"/>
        <v>9.7301122066584169E-3</v>
      </c>
    </row>
    <row r="50" spans="1:4" x14ac:dyDescent="0.2">
      <c r="A50" s="3">
        <f t="shared" si="0"/>
        <v>4.8000000000000043E-2</v>
      </c>
      <c r="B50" s="3">
        <v>1.048</v>
      </c>
      <c r="C50">
        <f t="shared" si="3"/>
        <v>4.8027584589822089E-3</v>
      </c>
      <c r="D50">
        <f t="shared" si="3"/>
        <v>1.1186531108309496E-2</v>
      </c>
    </row>
    <row r="51" spans="1:4" x14ac:dyDescent="0.2">
      <c r="A51" s="3">
        <f t="shared" si="0"/>
        <v>5.0000000000000044E-2</v>
      </c>
      <c r="B51" s="3">
        <v>1.05</v>
      </c>
      <c r="C51">
        <f t="shared" si="3"/>
        <v>5.3616512034304429E-3</v>
      </c>
      <c r="D51">
        <f t="shared" si="3"/>
        <v>1.2854216255173396E-2</v>
      </c>
    </row>
    <row r="52" spans="1:4" x14ac:dyDescent="0.2">
      <c r="A52" s="3">
        <f t="shared" si="0"/>
        <v>5.2000000000000046E-2</v>
      </c>
      <c r="B52" s="3">
        <v>1.052</v>
      </c>
      <c r="C52">
        <f t="shared" si="3"/>
        <v>5.9818294908686141E-3</v>
      </c>
      <c r="D52">
        <f t="shared" si="3"/>
        <v>1.4763547270654463E-2</v>
      </c>
    </row>
    <row r="53" spans="1:4" x14ac:dyDescent="0.2">
      <c r="A53" s="3">
        <f t="shared" si="0"/>
        <v>5.4000000000000048E-2</v>
      </c>
      <c r="B53" s="3">
        <v>1.054</v>
      </c>
      <c r="C53">
        <f t="shared" si="3"/>
        <v>6.6700104651955285E-3</v>
      </c>
      <c r="D53">
        <f t="shared" si="3"/>
        <v>1.69491855763849E-2</v>
      </c>
    </row>
    <row r="54" spans="1:4" x14ac:dyDescent="0.2">
      <c r="A54" s="3">
        <f t="shared" si="0"/>
        <v>5.600000000000005E-2</v>
      </c>
      <c r="B54" s="3">
        <v>1.056</v>
      </c>
      <c r="C54">
        <f t="shared" si="3"/>
        <v>7.433624997302885E-3</v>
      </c>
      <c r="D54">
        <f t="shared" si="3"/>
        <v>1.9450669132147165E-2</v>
      </c>
    </row>
    <row r="55" spans="1:4" x14ac:dyDescent="0.2">
      <c r="A55" s="3">
        <f t="shared" si="0"/>
        <v>5.8000000000000052E-2</v>
      </c>
      <c r="B55" s="3">
        <v>1.0580000000000001</v>
      </c>
      <c r="C55">
        <f t="shared" si="3"/>
        <v>8.2808923854813237E-3</v>
      </c>
      <c r="D55">
        <f t="shared" si="3"/>
        <v>2.2313088327193895E-2</v>
      </c>
    </row>
    <row r="56" spans="1:4" x14ac:dyDescent="0.2">
      <c r="A56" s="3">
        <f t="shared" si="0"/>
        <v>6.0000000000000053E-2</v>
      </c>
      <c r="B56" s="3">
        <v>1.06</v>
      </c>
      <c r="C56">
        <f t="shared" si="3"/>
        <v>9.2209026834989844E-3</v>
      </c>
      <c r="D56">
        <f t="shared" si="3"/>
        <v>2.5587853916107198E-2</v>
      </c>
    </row>
    <row r="57" spans="1:4" x14ac:dyDescent="0.2">
      <c r="A57" s="3">
        <f t="shared" si="0"/>
        <v>6.2000000000000055E-2</v>
      </c>
      <c r="B57" s="3">
        <v>1.0620000000000001</v>
      </c>
      <c r="C57">
        <f t="shared" si="3"/>
        <v>1.0263707420130072E-2</v>
      </c>
      <c r="D57">
        <f t="shared" si="3"/>
        <v>2.9333569329126348E-2</v>
      </c>
    </row>
    <row r="58" spans="1:4" x14ac:dyDescent="0.2">
      <c r="A58" s="3">
        <f t="shared" si="0"/>
        <v>6.4000000000000057E-2</v>
      </c>
      <c r="B58" s="3">
        <v>1.0640000000000001</v>
      </c>
      <c r="C58">
        <f t="shared" ref="C58:D61" si="4">((2*C$19)/C$20)*($B58^(C$20-1)-$B58^(-1-C$20/2))</f>
        <v>1.1420419548620579E-2</v>
      </c>
      <c r="D58">
        <f t="shared" si="4"/>
        <v>3.3617021309935075E-2</v>
      </c>
    </row>
    <row r="59" spans="1:4" x14ac:dyDescent="0.2">
      <c r="A59" s="3">
        <f>B59-1</f>
        <v>6.6000000000000059E-2</v>
      </c>
      <c r="B59" s="3">
        <v>1.0660000000000001</v>
      </c>
      <c r="C59">
        <f t="shared" si="4"/>
        <v>1.2703323546440449E-2</v>
      </c>
      <c r="D59">
        <f t="shared" si="4"/>
        <v>3.8514304666964365E-2</v>
      </c>
    </row>
    <row r="60" spans="1:4" x14ac:dyDescent="0.2">
      <c r="A60" s="3">
        <f t="shared" si="0"/>
        <v>6.800000000000006E-2</v>
      </c>
      <c r="B60" s="3">
        <v>1.0680000000000001</v>
      </c>
      <c r="C60">
        <f t="shared" si="4"/>
        <v>1.412599667535429E-2</v>
      </c>
      <c r="D60">
        <f t="shared" si="4"/>
        <v>4.4112098994022013E-2</v>
      </c>
    </row>
    <row r="61" spans="1:4" x14ac:dyDescent="0.2">
      <c r="A61" s="3">
        <f t="shared" si="0"/>
        <v>7.0000000000000062E-2</v>
      </c>
      <c r="B61" s="3">
        <v>1.07</v>
      </c>
      <c r="C61">
        <f t="shared" si="4"/>
        <v>1.5703442510076531E-2</v>
      </c>
      <c r="D61">
        <f t="shared" si="4"/>
        <v>5.0509117552535496E-2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MC1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2020-10-19T00:38:44Z</dcterms:modified>
  <cp:category/>
  <cp:contentStatus/>
</cp:coreProperties>
</file>