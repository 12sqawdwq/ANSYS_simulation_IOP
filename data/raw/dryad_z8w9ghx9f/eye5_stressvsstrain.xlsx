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60" yWindow="460" windowWidth="16260" windowHeight="1418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69" i="1" l="1"/>
  <c r="C69" i="1"/>
  <c r="D69" i="1"/>
  <c r="C63" i="1"/>
  <c r="D63" i="1"/>
  <c r="C64" i="1"/>
  <c r="D64" i="1"/>
  <c r="C65" i="1"/>
  <c r="D65" i="1"/>
  <c r="C66" i="1"/>
  <c r="D66" i="1"/>
  <c r="C67" i="1"/>
  <c r="D67" i="1"/>
  <c r="C68" i="1"/>
  <c r="D68" i="1"/>
  <c r="A63" i="1"/>
  <c r="A64" i="1"/>
  <c r="A65" i="1"/>
  <c r="A66" i="1"/>
  <c r="A67" i="1"/>
  <c r="A68" i="1"/>
  <c r="A62" i="1"/>
  <c r="C62" i="1"/>
  <c r="D62" i="1"/>
  <c r="A61" i="1"/>
  <c r="C61" i="1"/>
  <c r="D61" i="1"/>
  <c r="A60" i="1"/>
  <c r="C60" i="1"/>
  <c r="D60" i="1"/>
  <c r="A59" i="1"/>
  <c r="C59" i="1"/>
  <c r="D59" i="1"/>
  <c r="A58" i="1"/>
  <c r="C58" i="1"/>
  <c r="D58" i="1"/>
  <c r="A57" i="1"/>
  <c r="C57" i="1"/>
  <c r="D57" i="1"/>
  <c r="A56" i="1"/>
  <c r="C56" i="1"/>
  <c r="D56" i="1"/>
  <c r="A55" i="1"/>
  <c r="C55" i="1"/>
  <c r="D55" i="1"/>
  <c r="A54" i="1"/>
  <c r="C54" i="1"/>
  <c r="D54" i="1"/>
  <c r="A53" i="1"/>
  <c r="C53" i="1"/>
  <c r="D53" i="1"/>
  <c r="A52" i="1"/>
  <c r="C52" i="1"/>
  <c r="D52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6" i="1"/>
  <c r="C36" i="1"/>
  <c r="C35" i="1"/>
  <c r="N27" i="1"/>
  <c r="C31" i="1"/>
  <c r="C30" i="1"/>
  <c r="N26" i="1"/>
  <c r="D31" i="1"/>
  <c r="D30" i="1"/>
  <c r="O26" i="1"/>
  <c r="N21" i="1"/>
  <c r="D36" i="1"/>
  <c r="D35" i="1"/>
  <c r="O27" i="1"/>
  <c r="N22" i="1"/>
  <c r="D27" i="1"/>
  <c r="D28" i="1"/>
  <c r="D29" i="1"/>
  <c r="D32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29" i="1"/>
  <c r="C28" i="1"/>
  <c r="C32" i="1"/>
  <c r="C33" i="1"/>
  <c r="C34" i="1"/>
  <c r="C37" i="1"/>
</calcChain>
</file>

<file path=xl/sharedStrings.xml><?xml version="1.0" encoding="utf-8"?>
<sst xmlns="http://schemas.openxmlformats.org/spreadsheetml/2006/main" count="16" uniqueCount="12">
  <si>
    <t>Mlim</t>
  </si>
  <si>
    <t>Before</t>
  </si>
  <si>
    <t xml:space="preserve">After </t>
  </si>
  <si>
    <t>Mu1</t>
  </si>
  <si>
    <t>Alpha1</t>
  </si>
  <si>
    <t>E Ratio at 1%</t>
  </si>
  <si>
    <t>E Ratio at 2%</t>
  </si>
  <si>
    <t>Stretch
(lambda)</t>
  </si>
  <si>
    <t>Stress
(MPa)</t>
  </si>
  <si>
    <t>E tangent</t>
  </si>
  <si>
    <t>strain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</si>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</sst>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804352"/>
        <c:axId val="1242773760"/>
      </c:scatterChart>
      <c:valAx>
        <c:axId val="134580435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242773760"/>
        <c:crosses val="autoZero"/>
        <c:crossBetween val="midCat"/>
      </c:valAx>
      <c:valAx>
        <c:axId val="1242773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5804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'MC1'!$A$26:$A$61</c:f>
              <c:numCache>
                <c:formatCode>0.000</c:formatCode>
                <c:ptCount val="36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  <c:pt idx="27">
                  <c:v>0.054</c:v>
                </c:pt>
                <c:pt idx="28">
                  <c:v>0.056</c:v>
                </c:pt>
                <c:pt idx="29">
                  <c:v>0.058</c:v>
                </c:pt>
                <c:pt idx="30">
                  <c:v>0.06</c:v>
                </c:pt>
                <c:pt idx="31">
                  <c:v>0.062</c:v>
                </c:pt>
                <c:pt idx="32">
                  <c:v>0.064</c:v>
                </c:pt>
                <c:pt idx="33">
                  <c:v>0.066</c:v>
                </c:pt>
                <c:pt idx="34">
                  <c:v>0.068</c:v>
                </c:pt>
                <c:pt idx="35">
                  <c:v>0.0700000000000001</c:v>
                </c:pt>
              </c:numCache>
            </c:numRef>
          </c:xVal>
          <c:yVal>
            <c:numRef>
              <c:f>'MC1'!$C$26:$C$61</c:f>
              <c:numCache>
                <c:formatCode>General</c:formatCode>
                <c:ptCount val="36"/>
                <c:pt idx="0">
                  <c:v>0.0</c:v>
                </c:pt>
                <c:pt idx="1">
                  <c:v>5.05487051371244E-5</c:v>
                </c:pt>
                <c:pt idx="2">
                  <c:v>0.000104120623172357</c:v>
                </c:pt>
                <c:pt idx="3">
                  <c:v>0.000161237279704525</c:v>
                </c:pt>
                <c:pt idx="4">
                  <c:v>0.000222468389857699</c:v>
                </c:pt>
                <c:pt idx="5">
                  <c:v>0.00028843785233343</c:v>
                </c:pt>
                <c:pt idx="6">
                  <c:v>0.000359830348078061</c:v>
                </c:pt>
                <c:pt idx="7">
                  <c:v>0.000437398610452845</c:v>
                </c:pt>
                <c:pt idx="8">
                  <c:v>0.000521971440519791</c:v>
                </c:pt>
                <c:pt idx="9">
                  <c:v>0.00061446254847623</c:v>
                </c:pt>
                <c:pt idx="10">
                  <c:v>0.000715880310453536</c:v>
                </c:pt>
                <c:pt idx="11">
                  <c:v>0.000827338538914815</c:v>
                </c:pt>
                <c:pt idx="12">
                  <c:v>0.000950068374824094</c:v>
                </c:pt>
                <c:pt idx="13">
                  <c:v>0.0010854314207053</c:v>
                </c:pt>
                <c:pt idx="14">
                  <c:v>0.00123493424576115</c:v>
                </c:pt>
                <c:pt idx="15">
                  <c:v>0.00140024440748757</c:v>
                </c:pt>
                <c:pt idx="16">
                  <c:v>0.00158320814881691</c:v>
                </c:pt>
                <c:pt idx="17">
                  <c:v>0.00178586994588107</c:v>
                </c:pt>
                <c:pt idx="18">
                  <c:v>0.00201049409914738</c:v>
                </c:pt>
                <c:pt idx="19">
                  <c:v>0.00225958858009858</c:v>
                </c:pt>
                <c:pt idx="20">
                  <c:v>0.00253593136697513</c:v>
                </c:pt>
                <c:pt idx="21">
                  <c:v>0.00284259952655891</c:v>
                </c:pt>
                <c:pt idx="22">
                  <c:v>0.00318300132475533</c:v>
                </c:pt>
                <c:pt idx="23">
                  <c:v>0.00356091167704947</c:v>
                </c:pt>
                <c:pt idx="24">
                  <c:v>0.00398051128101525</c:v>
                </c:pt>
                <c:pt idx="25">
                  <c:v>0.00444642980721039</c:v>
                </c:pt>
                <c:pt idx="26">
                  <c:v>0.00496379356228765</c:v>
                </c:pt>
                <c:pt idx="27">
                  <c:v>0.00553827807931266</c:v>
                </c:pt>
                <c:pt idx="28">
                  <c:v>0.00617616613544952</c:v>
                </c:pt>
                <c:pt idx="29">
                  <c:v>0.00688441174674032</c:v>
                </c:pt>
                <c:pt idx="30">
                  <c:v>0.00767071074407854</c:v>
                </c:pt>
                <c:pt idx="31">
                  <c:v>0.00854357859411751</c:v>
                </c:pt>
                <c:pt idx="32">
                  <c:v>0.00951243619425949</c:v>
                </c:pt>
                <c:pt idx="33">
                  <c:v>0.0105877044425843</c:v>
                </c:pt>
                <c:pt idx="34">
                  <c:v>0.0117809084621922</c:v>
                </c:pt>
                <c:pt idx="35">
                  <c:v>0.0131047924456034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'MC1'!$A$26:$A$50</c:f>
              <c:numCache>
                <c:formatCode>0.000</c:formatCode>
                <c:ptCount val="25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</c:numCache>
            </c:numRef>
          </c:xVal>
          <c:yVal>
            <c:numRef>
              <c:f>'MC1'!$D$26:$D$50</c:f>
              <c:numCache>
                <c:formatCode>General</c:formatCode>
                <c:ptCount val="25"/>
                <c:pt idx="0">
                  <c:v>0.0</c:v>
                </c:pt>
                <c:pt idx="1">
                  <c:v>5.52428704840944E-5</c:v>
                </c:pt>
                <c:pt idx="2">
                  <c:v>0.000116291500867002</c:v>
                </c:pt>
                <c:pt idx="3">
                  <c:v>0.000184687001989121</c:v>
                </c:pt>
                <c:pt idx="4">
                  <c:v>0.000262220185111423</c:v>
                </c:pt>
                <c:pt idx="5">
                  <c:v>0.000350981531965664</c:v>
                </c:pt>
                <c:pt idx="6">
                  <c:v>0.00045341994413595</c:v>
                </c:pt>
                <c:pt idx="7">
                  <c:v>0.000572411887488593</c:v>
                </c:pt>
                <c:pt idx="8">
                  <c:v>0.000711342831048225</c:v>
                </c:pt>
                <c:pt idx="9">
                  <c:v>0.000874203213407514</c:v>
                </c:pt>
                <c:pt idx="10">
                  <c:v>0.00106570156205277</c:v>
                </c:pt>
                <c:pt idx="11">
                  <c:v>0.00129139785195164</c:v>
                </c:pt>
                <c:pt idx="12">
                  <c:v>0.00155786073115596</c:v>
                </c:pt>
                <c:pt idx="13">
                  <c:v>0.00187285287679441</c:v>
                </c:pt>
                <c:pt idx="14">
                  <c:v>0.00224554949076629</c:v>
                </c:pt>
                <c:pt idx="15">
                  <c:v>0.00268679581951932</c:v>
                </c:pt>
                <c:pt idx="16">
                  <c:v>0.00320941060848767</c:v>
                </c:pt>
                <c:pt idx="17">
                  <c:v>0.00382854360476454</c:v>
                </c:pt>
                <c:pt idx="18">
                  <c:v>0.00456209663137365</c:v>
                </c:pt>
                <c:pt idx="19">
                  <c:v>0.00543121940809023</c:v>
                </c:pt>
                <c:pt idx="20">
                  <c:v>0.00646089322799104</c:v>
                </c:pt>
                <c:pt idx="21">
                  <c:v>0.00768061786343521</c:v>
                </c:pt>
                <c:pt idx="22">
                  <c:v>0.00912521972556235</c:v>
                </c:pt>
                <c:pt idx="23">
                  <c:v>0.0108358024024286</c:v>
                </c:pt>
                <c:pt idx="24">
                  <c:v>0.012860864328093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59008"/>
        <c:axId val="1230999232"/>
      </c:scatterChart>
      <c:valAx>
        <c:axId val="132475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99232"/>
        <c:crosses val="autoZero"/>
        <c:crossBetween val="midCat"/>
      </c:valAx>
      <c:valAx>
        <c:axId val="12309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5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0.0329847312378652</c:v>
                </c:pt>
                <c:pt idx="1">
                  <c:v>0.0443806734271203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0.0507088809886531</c:v>
                </c:pt>
                <c:pt idx="1">
                  <c:v>0.0957491743226293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111840"/>
        <c:axId val="1271146880"/>
        <c:axId val="0"/>
      </c:bar3DChart>
      <c:catAx>
        <c:axId val="132211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46880"/>
        <c:crosses val="autoZero"/>
        <c:auto val="1"/>
        <c:lblAlgn val="ctr"/>
        <c:lblOffset val="100"/>
        <c:noMultiLvlLbl val="0"/>
      </c:catAx>
      <c:valAx>
        <c:axId val="12711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1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</xdr:row>
      <xdr:rowOff>0</xdr:rowOff>
    </xdr:from>
    <xdr:to>
      <xdr:col>7</xdr:col>
      <xdr:colOff>458932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549852</xdr:colOff>
      <xdr:row>2</xdr:row>
      <xdr:rowOff>0</xdr:rowOff>
    </xdr:from>
    <xdr:to>
      <xdr:col>16</xdr:col>
      <xdr:colOff>186170</xdr:colOff>
      <xdr:row>16</xdr:row>
      <xdr:rowOff>116609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zoomScale="88" zoomScaleNormal="116" zoomScalePageLayoutView="116" workbookViewId="0">
      <selection sqref="A1:Q1"/>
    </sheetView>
  </sheetViews>
  <sheetFormatPr baseColWidth="10" defaultColWidth="8.83203125" defaultRowHeight="15" x14ac:dyDescent="0.2"/>
  <cols>
    <col min="4" max="4" width="11.5" bestFit="1" customWidth="1"/>
    <col min="13" max="13" width="11.33203125" bestFit="1" customWidth="1"/>
  </cols>
  <sheetData>
    <row r="1" spans="1:17" ht="21" x14ac:dyDescent="0.25">
      <c r="A1" s="9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17" spans="1:15" x14ac:dyDescent="0.2">
      <c r="B17" t="s">
        <v>0</v>
      </c>
    </row>
    <row r="18" spans="1:15" x14ac:dyDescent="0.2">
      <c r="B18" s="6"/>
      <c r="C18" s="7" t="s">
        <v>1</v>
      </c>
      <c r="D18" s="7" t="s">
        <v>2</v>
      </c>
      <c r="E18" s="1"/>
      <c r="F18" s="1"/>
      <c r="G18" s="1"/>
      <c r="H18" s="1"/>
      <c r="I18" s="1"/>
      <c r="J18" s="1"/>
      <c r="K18" s="1"/>
    </row>
    <row r="19" spans="1:15" x14ac:dyDescent="0.2">
      <c r="B19" s="8" t="s">
        <v>3</v>
      </c>
      <c r="C19" s="5">
        <v>8.2000000000000007E-3</v>
      </c>
      <c r="D19" s="5">
        <v>8.8000000000000005E-3</v>
      </c>
    </row>
    <row r="20" spans="1:15" x14ac:dyDescent="0.2">
      <c r="B20" s="8" t="s">
        <v>4</v>
      </c>
      <c r="C20" s="5">
        <v>57.652099999999997</v>
      </c>
      <c r="D20" s="5">
        <v>90.424400000000006</v>
      </c>
    </row>
    <row r="21" spans="1:15" x14ac:dyDescent="0.2">
      <c r="B21" s="1"/>
      <c r="M21" t="s">
        <v>5</v>
      </c>
      <c r="N21">
        <f>O26/N26</f>
        <v>1.3454914368431463</v>
      </c>
    </row>
    <row r="22" spans="1:15" x14ac:dyDescent="0.2">
      <c r="B22" s="1"/>
      <c r="M22" t="s">
        <v>6</v>
      </c>
      <c r="N22">
        <f>O27/N27</f>
        <v>1.8882131188036813</v>
      </c>
    </row>
    <row r="24" spans="1:15" x14ac:dyDescent="0.2">
      <c r="C24" t="s">
        <v>1</v>
      </c>
      <c r="D24" t="s">
        <v>2</v>
      </c>
    </row>
    <row r="25" spans="1:15" ht="30" x14ac:dyDescent="0.2">
      <c r="A25" t="s">
        <v>10</v>
      </c>
      <c r="B25" s="2" t="s">
        <v>7</v>
      </c>
      <c r="C25" s="2" t="s">
        <v>8</v>
      </c>
      <c r="D25" s="2"/>
      <c r="M25" t="s">
        <v>9</v>
      </c>
      <c r="N25" t="s">
        <v>1</v>
      </c>
      <c r="O25" t="s">
        <v>2</v>
      </c>
    </row>
    <row r="26" spans="1:15" x14ac:dyDescent="0.2">
      <c r="A26" s="3">
        <f>B26-1</f>
        <v>0</v>
      </c>
      <c r="B26" s="3">
        <v>1</v>
      </c>
      <c r="C26">
        <v>0</v>
      </c>
      <c r="D26">
        <v>0</v>
      </c>
      <c r="M26" s="4">
        <v>0.01</v>
      </c>
      <c r="N26">
        <f>(C31-C30)/($B$31-$B$30)</f>
        <v>3.2984731237865203E-2</v>
      </c>
      <c r="O26">
        <f>(D31-D30)/($B$31-$B$30)</f>
        <v>4.4380673427120265E-2</v>
      </c>
    </row>
    <row r="27" spans="1:15" x14ac:dyDescent="0.2">
      <c r="A27" s="3">
        <f t="shared" ref="A27:A69" si="0">B27-1</f>
        <v>2.0000000000000018E-3</v>
      </c>
      <c r="B27" s="3">
        <v>1.002</v>
      </c>
      <c r="C27">
        <f t="shared" ref="C27:C37" si="1">((2*C$19)/C$20)*($B27^(C$20-1)-$B27^(-1-C$20/2))</f>
        <v>5.0548705137124354E-5</v>
      </c>
      <c r="D27">
        <f t="shared" ref="D27:D37" si="2">((2*D$19)/D$20)*($B27^(D$20-1)-$B27^(-1-D$20/2))</f>
        <v>5.5242870484094363E-5</v>
      </c>
      <c r="M27" s="4">
        <v>0.02</v>
      </c>
      <c r="N27">
        <f>(C36-C35)/($B$36-$B$35)</f>
        <v>5.0708880988653081E-2</v>
      </c>
      <c r="O27">
        <f>(D36-D35)/($B$36-$B$35)</f>
        <v>9.5749174322629332E-2</v>
      </c>
    </row>
    <row r="28" spans="1:15" x14ac:dyDescent="0.2">
      <c r="A28" s="3">
        <f t="shared" si="0"/>
        <v>4.0000000000000036E-3</v>
      </c>
      <c r="B28" s="3">
        <v>1.004</v>
      </c>
      <c r="C28">
        <f t="shared" si="1"/>
        <v>1.0412062317235741E-4</v>
      </c>
      <c r="D28">
        <f t="shared" si="2"/>
        <v>1.1629150086700163E-4</v>
      </c>
    </row>
    <row r="29" spans="1:15" x14ac:dyDescent="0.2">
      <c r="A29" s="3">
        <f t="shared" si="0"/>
        <v>6.0000000000000053E-3</v>
      </c>
      <c r="B29" s="3">
        <v>1.006</v>
      </c>
      <c r="C29">
        <f t="shared" si="1"/>
        <v>1.6123727970452471E-4</v>
      </c>
      <c r="D29">
        <f t="shared" si="2"/>
        <v>1.846870019891213E-4</v>
      </c>
    </row>
    <row r="30" spans="1:15" x14ac:dyDescent="0.2">
      <c r="A30" s="3">
        <f t="shared" si="0"/>
        <v>8.0000000000000071E-3</v>
      </c>
      <c r="B30" s="3">
        <v>1.008</v>
      </c>
      <c r="C30">
        <f t="shared" si="1"/>
        <v>2.2246838985769934E-4</v>
      </c>
      <c r="D30">
        <f t="shared" si="2"/>
        <v>2.6222018511142339E-4</v>
      </c>
    </row>
    <row r="31" spans="1:15" x14ac:dyDescent="0.2">
      <c r="A31" s="3">
        <f t="shared" si="0"/>
        <v>1.0000000000000009E-2</v>
      </c>
      <c r="B31" s="3">
        <v>1.01</v>
      </c>
      <c r="C31">
        <f t="shared" si="1"/>
        <v>2.884378523334298E-4</v>
      </c>
      <c r="D31">
        <f t="shared" si="2"/>
        <v>3.50981531965664E-4</v>
      </c>
    </row>
    <row r="32" spans="1:15" x14ac:dyDescent="0.2">
      <c r="A32" s="3">
        <f t="shared" si="0"/>
        <v>1.2000000000000011E-2</v>
      </c>
      <c r="B32" s="3">
        <v>1.012</v>
      </c>
      <c r="C32">
        <f t="shared" si="1"/>
        <v>3.5983034807806144E-4</v>
      </c>
      <c r="D32">
        <f t="shared" si="2"/>
        <v>4.5341994413595029E-4</v>
      </c>
    </row>
    <row r="33" spans="1:4" x14ac:dyDescent="0.2">
      <c r="A33" s="3">
        <f t="shared" si="0"/>
        <v>1.4000000000000012E-2</v>
      </c>
      <c r="B33" s="3">
        <v>1.014</v>
      </c>
      <c r="C33">
        <f t="shared" si="1"/>
        <v>4.3739861045284526E-4</v>
      </c>
      <c r="D33">
        <f t="shared" si="2"/>
        <v>5.7241188748859302E-4</v>
      </c>
    </row>
    <row r="34" spans="1:4" x14ac:dyDescent="0.2">
      <c r="A34" s="3">
        <f t="shared" si="0"/>
        <v>1.6000000000000014E-2</v>
      </c>
      <c r="B34" s="3">
        <v>1.016</v>
      </c>
      <c r="C34">
        <f t="shared" si="1"/>
        <v>5.2197144051979152E-4</v>
      </c>
      <c r="D34">
        <f t="shared" si="2"/>
        <v>7.1134283104822547E-4</v>
      </c>
    </row>
    <row r="35" spans="1:4" x14ac:dyDescent="0.2">
      <c r="A35" s="3">
        <f t="shared" si="0"/>
        <v>1.8000000000000016E-2</v>
      </c>
      <c r="B35" s="3">
        <v>1.018</v>
      </c>
      <c r="C35">
        <f t="shared" si="1"/>
        <v>6.1446254847622968E-4</v>
      </c>
      <c r="D35">
        <f t="shared" si="2"/>
        <v>8.7420321340751425E-4</v>
      </c>
    </row>
    <row r="36" spans="1:4" x14ac:dyDescent="0.2">
      <c r="A36" s="3">
        <f t="shared" si="0"/>
        <v>2.0000000000000018E-2</v>
      </c>
      <c r="B36" s="3">
        <v>1.02</v>
      </c>
      <c r="C36">
        <f>((2*C$19)/C$20)*($B36^(C$20-1)-$B36^(-1-C$20/2))</f>
        <v>7.1588031045353594E-4</v>
      </c>
      <c r="D36">
        <f t="shared" si="2"/>
        <v>1.0657015620527731E-3</v>
      </c>
    </row>
    <row r="37" spans="1:4" x14ac:dyDescent="0.2">
      <c r="A37" s="3">
        <f t="shared" si="0"/>
        <v>2.200000000000002E-2</v>
      </c>
      <c r="B37" s="3">
        <v>1.022</v>
      </c>
      <c r="C37">
        <f t="shared" si="1"/>
        <v>8.2733853891481506E-4</v>
      </c>
      <c r="D37">
        <f t="shared" si="2"/>
        <v>1.2913978519516404E-3</v>
      </c>
    </row>
    <row r="38" spans="1:4" x14ac:dyDescent="0.2">
      <c r="A38" s="3">
        <f t="shared" si="0"/>
        <v>2.4000000000000021E-2</v>
      </c>
      <c r="B38" s="3">
        <v>1.024</v>
      </c>
      <c r="C38">
        <f t="shared" ref="C38:D63" si="3">((2*C$19)/C$20)*($B38^(C$20-1)-$B38^(-1-C$20/2))</f>
        <v>9.500683748240946E-4</v>
      </c>
      <c r="D38">
        <f t="shared" si="3"/>
        <v>1.5578607311559618E-3</v>
      </c>
    </row>
    <row r="39" spans="1:4" x14ac:dyDescent="0.2">
      <c r="A39" s="3">
        <f t="shared" si="0"/>
        <v>2.6000000000000023E-2</v>
      </c>
      <c r="B39" s="3">
        <v>1.026</v>
      </c>
      <c r="C39">
        <f t="shared" si="3"/>
        <v>1.0854314207053035E-3</v>
      </c>
      <c r="D39">
        <f t="shared" si="3"/>
        <v>1.8728528767944085E-3</v>
      </c>
    </row>
    <row r="40" spans="1:4" x14ac:dyDescent="0.2">
      <c r="A40" s="3">
        <f t="shared" si="0"/>
        <v>2.8000000000000025E-2</v>
      </c>
      <c r="B40" s="3">
        <v>1.028</v>
      </c>
      <c r="C40">
        <f t="shared" si="3"/>
        <v>1.2349342457611463E-3</v>
      </c>
      <c r="D40">
        <f t="shared" si="3"/>
        <v>2.2455494907662895E-3</v>
      </c>
    </row>
    <row r="41" spans="1:4" x14ac:dyDescent="0.2">
      <c r="A41" s="3">
        <f t="shared" si="0"/>
        <v>3.0000000000000027E-2</v>
      </c>
      <c r="B41" s="3">
        <v>1.03</v>
      </c>
      <c r="C41">
        <f t="shared" si="3"/>
        <v>1.4002444074875738E-3</v>
      </c>
      <c r="D41">
        <f t="shared" si="3"/>
        <v>2.6867958195193197E-3</v>
      </c>
    </row>
    <row r="42" spans="1:4" x14ac:dyDescent="0.2">
      <c r="A42" s="3">
        <f t="shared" si="0"/>
        <v>3.2000000000000028E-2</v>
      </c>
      <c r="B42" s="3">
        <v>1.032</v>
      </c>
      <c r="C42">
        <f t="shared" si="3"/>
        <v>1.5832081488169095E-3</v>
      </c>
      <c r="D42">
        <f t="shared" si="3"/>
        <v>3.2094106084876676E-3</v>
      </c>
    </row>
    <row r="43" spans="1:4" x14ac:dyDescent="0.2">
      <c r="A43" s="3">
        <f t="shared" si="0"/>
        <v>3.400000000000003E-2</v>
      </c>
      <c r="B43" s="3">
        <v>1.034</v>
      </c>
      <c r="C43">
        <f t="shared" si="3"/>
        <v>1.7858699458810664E-3</v>
      </c>
      <c r="D43">
        <f t="shared" si="3"/>
        <v>3.8285436047645377E-3</v>
      </c>
    </row>
    <row r="44" spans="1:4" x14ac:dyDescent="0.2">
      <c r="A44" s="3">
        <f t="shared" si="0"/>
        <v>3.6000000000000032E-2</v>
      </c>
      <c r="B44" s="3">
        <v>1.036</v>
      </c>
      <c r="C44">
        <f t="shared" si="3"/>
        <v>2.0104940991473807E-3</v>
      </c>
      <c r="D44">
        <f t="shared" si="3"/>
        <v>4.5620966313736494E-3</v>
      </c>
    </row>
    <row r="45" spans="1:4" x14ac:dyDescent="0.2">
      <c r="A45" s="3">
        <f t="shared" si="0"/>
        <v>3.8000000000000034E-2</v>
      </c>
      <c r="B45" s="3">
        <v>1.038</v>
      </c>
      <c r="C45">
        <f t="shared" si="3"/>
        <v>2.2595885800985771E-3</v>
      </c>
      <c r="D45">
        <f t="shared" si="3"/>
        <v>5.4312194080902319E-3</v>
      </c>
    </row>
    <row r="46" spans="1:4" x14ac:dyDescent="0.2">
      <c r="A46" s="3">
        <f t="shared" si="0"/>
        <v>4.0000000000000036E-2</v>
      </c>
      <c r="B46" s="3">
        <v>1.04</v>
      </c>
      <c r="C46">
        <f t="shared" si="3"/>
        <v>2.5359313669751265E-3</v>
      </c>
      <c r="D46">
        <f t="shared" si="3"/>
        <v>6.4608932279910415E-3</v>
      </c>
    </row>
    <row r="47" spans="1:4" x14ac:dyDescent="0.2">
      <c r="A47" s="3">
        <f t="shared" si="0"/>
        <v>4.2000000000000037E-2</v>
      </c>
      <c r="B47" s="3">
        <v>1.042</v>
      </c>
      <c r="C47">
        <f t="shared" si="3"/>
        <v>2.8425995265589153E-3</v>
      </c>
      <c r="D47">
        <f t="shared" si="3"/>
        <v>7.6806178634352103E-3</v>
      </c>
    </row>
    <row r="48" spans="1:4" x14ac:dyDescent="0.2">
      <c r="A48" s="3">
        <f t="shared" si="0"/>
        <v>4.4000000000000039E-2</v>
      </c>
      <c r="B48" s="3">
        <v>1.044</v>
      </c>
      <c r="C48">
        <f t="shared" si="3"/>
        <v>3.1830013247553302E-3</v>
      </c>
      <c r="D48">
        <f t="shared" si="3"/>
        <v>9.1252197255623502E-3</v>
      </c>
    </row>
    <row r="49" spans="1:4" x14ac:dyDescent="0.2">
      <c r="A49" s="3">
        <f t="shared" si="0"/>
        <v>4.6000000000000041E-2</v>
      </c>
      <c r="B49" s="3">
        <v>1.046</v>
      </c>
      <c r="C49">
        <f t="shared" si="3"/>
        <v>3.5609116770494707E-3</v>
      </c>
      <c r="D49">
        <f t="shared" si="3"/>
        <v>1.0835802402428587E-2</v>
      </c>
    </row>
    <row r="50" spans="1:4" x14ac:dyDescent="0.2">
      <c r="A50" s="3">
        <f t="shared" si="0"/>
        <v>4.8000000000000043E-2</v>
      </c>
      <c r="B50" s="3">
        <v>1.048</v>
      </c>
      <c r="C50">
        <f t="shared" si="3"/>
        <v>3.9805112810152527E-3</v>
      </c>
      <c r="D50">
        <f t="shared" si="3"/>
        <v>1.2860864328093021E-2</v>
      </c>
    </row>
    <row r="51" spans="1:4" x14ac:dyDescent="0.2">
      <c r="A51" s="3">
        <f t="shared" si="0"/>
        <v>5.0000000000000044E-2</v>
      </c>
      <c r="B51" s="3">
        <v>1.05</v>
      </c>
      <c r="C51">
        <f t="shared" si="3"/>
        <v>4.4464298072103879E-3</v>
      </c>
      <c r="D51">
        <f t="shared" si="3"/>
        <v>1.5257612576296816E-2</v>
      </c>
    </row>
    <row r="52" spans="1:4" x14ac:dyDescent="0.2">
      <c r="A52" s="3">
        <f t="shared" si="0"/>
        <v>5.2000000000000046E-2</v>
      </c>
      <c r="B52" s="3">
        <v>1.052</v>
      </c>
      <c r="C52">
        <f t="shared" si="3"/>
        <v>4.9637935622876541E-3</v>
      </c>
      <c r="D52">
        <f t="shared" si="3"/>
        <v>1.8093506730324681E-2</v>
      </c>
    </row>
    <row r="53" spans="1:4" x14ac:dyDescent="0.2">
      <c r="A53" s="3">
        <f t="shared" si="0"/>
        <v>5.4000000000000048E-2</v>
      </c>
      <c r="B53" s="3">
        <v>1.054</v>
      </c>
      <c r="C53">
        <f t="shared" si="3"/>
        <v>5.5382780793126569E-3</v>
      </c>
      <c r="D53">
        <f t="shared" si="3"/>
        <v>2.144807257453887E-2</v>
      </c>
    </row>
    <row r="54" spans="1:4" x14ac:dyDescent="0.2">
      <c r="A54" s="3">
        <f t="shared" si="0"/>
        <v>5.600000000000005E-2</v>
      </c>
      <c r="B54" s="3">
        <v>1.056</v>
      </c>
      <c r="C54">
        <f t="shared" si="3"/>
        <v>6.1761661354495243E-3</v>
      </c>
      <c r="D54">
        <f t="shared" si="3"/>
        <v>2.5415032121851852E-2</v>
      </c>
    </row>
    <row r="55" spans="1:4" x14ac:dyDescent="0.2">
      <c r="A55" s="3">
        <f t="shared" si="0"/>
        <v>5.8000000000000052E-2</v>
      </c>
      <c r="B55" s="3">
        <v>1.0580000000000001</v>
      </c>
      <c r="C55">
        <f t="shared" si="3"/>
        <v>6.8844117467403258E-3</v>
      </c>
      <c r="D55">
        <f t="shared" si="3"/>
        <v>3.0104804396730873E-2</v>
      </c>
    </row>
    <row r="56" spans="1:4" x14ac:dyDescent="0.2">
      <c r="A56" s="3">
        <f t="shared" si="0"/>
        <v>6.0000000000000053E-2</v>
      </c>
      <c r="B56" s="3">
        <v>1.06</v>
      </c>
      <c r="C56">
        <f t="shared" si="3"/>
        <v>7.6707107440785469E-3</v>
      </c>
      <c r="D56">
        <f t="shared" si="3"/>
        <v>3.5647440623310704E-2</v>
      </c>
    </row>
    <row r="57" spans="1:4" x14ac:dyDescent="0.2">
      <c r="A57" s="3">
        <f t="shared" si="0"/>
        <v>6.2000000000000055E-2</v>
      </c>
      <c r="B57" s="3">
        <v>1.0620000000000001</v>
      </c>
      <c r="C57">
        <f t="shared" si="3"/>
        <v>8.54357859411751E-3</v>
      </c>
      <c r="D57">
        <f t="shared" si="3"/>
        <v>4.2196068241616487E-2</v>
      </c>
    </row>
    <row r="58" spans="1:4" x14ac:dyDescent="0.2">
      <c r="A58" s="3">
        <f t="shared" si="0"/>
        <v>6.4000000000000057E-2</v>
      </c>
      <c r="B58" s="3">
        <v>1.0640000000000001</v>
      </c>
      <c r="C58">
        <f t="shared" si="3"/>
        <v>9.512436194259493E-3</v>
      </c>
      <c r="D58">
        <f t="shared" si="3"/>
        <v>4.9930930746168348E-2</v>
      </c>
    </row>
    <row r="59" spans="1:4" x14ac:dyDescent="0.2">
      <c r="A59" s="3">
        <f t="shared" si="0"/>
        <v>6.6000000000000059E-2</v>
      </c>
      <c r="B59" s="3">
        <v>1.0660000000000001</v>
      </c>
      <c r="C59">
        <f t="shared" si="3"/>
        <v>1.0587704442584323E-2</v>
      </c>
      <c r="D59">
        <f t="shared" si="3"/>
        <v>5.906412500608893E-2</v>
      </c>
    </row>
    <row r="60" spans="1:4" x14ac:dyDescent="0.2">
      <c r="A60" s="3">
        <f t="shared" si="0"/>
        <v>6.800000000000006E-2</v>
      </c>
      <c r="B60" s="3">
        <v>1.0680000000000001</v>
      </c>
      <c r="C60">
        <f t="shared" si="3"/>
        <v>1.1780908462192225E-2</v>
      </c>
      <c r="D60">
        <f t="shared" si="3"/>
        <v>6.9845154827934075E-2</v>
      </c>
    </row>
    <row r="61" spans="1:4" x14ac:dyDescent="0.2">
      <c r="A61" s="3">
        <f t="shared" si="0"/>
        <v>7.0000000000000062E-2</v>
      </c>
      <c r="B61" s="3">
        <v>1.07</v>
      </c>
      <c r="C61">
        <f t="shared" si="3"/>
        <v>1.3104792445603402E-2</v>
      </c>
      <c r="D61">
        <f t="shared" si="3"/>
        <v>8.2567439461105854E-2</v>
      </c>
    </row>
    <row r="62" spans="1:4" x14ac:dyDescent="0.2">
      <c r="A62" s="3">
        <f t="shared" si="0"/>
        <v>7.2000000000000064E-2</v>
      </c>
      <c r="B62" s="3">
        <v>1.0720000000000001</v>
      </c>
      <c r="C62">
        <f t="shared" si="3"/>
        <v>1.4573446179285274E-2</v>
      </c>
      <c r="D62">
        <f t="shared" si="3"/>
        <v>9.7575938984624286E-2</v>
      </c>
    </row>
    <row r="63" spans="1:4" x14ac:dyDescent="0.2">
      <c r="A63" s="3">
        <f t="shared" si="0"/>
        <v>7.4000000000000066E-2</v>
      </c>
      <c r="B63" s="3">
        <v>1.0740000000000001</v>
      </c>
      <c r="C63">
        <f t="shared" si="3"/>
        <v>1.6202444411841519E-2</v>
      </c>
      <c r="D63">
        <f t="shared" si="3"/>
        <v>0.11527608559172328</v>
      </c>
    </row>
    <row r="64" spans="1:4" x14ac:dyDescent="0.2">
      <c r="A64" s="3">
        <f t="shared" si="0"/>
        <v>7.6000000000000068E-2</v>
      </c>
      <c r="B64" s="3">
        <v>1.0760000000000001</v>
      </c>
      <c r="C64">
        <f t="shared" ref="C64:D69" si="4">((2*C$19)/C$20)*($B64^(C$20-1)-$B64^(-1-C$20/2))</f>
        <v>1.8009000342739261E-2</v>
      </c>
      <c r="D64">
        <f t="shared" si="4"/>
        <v>0.13614424133025299</v>
      </c>
    </row>
    <row r="65" spans="1:4" x14ac:dyDescent="0.2">
      <c r="A65" s="3">
        <f t="shared" si="0"/>
        <v>7.8000000000000069E-2</v>
      </c>
      <c r="B65" s="3">
        <v>1.0780000000000001</v>
      </c>
      <c r="C65">
        <f t="shared" si="4"/>
        <v>2.0012134632594242E-2</v>
      </c>
      <c r="D65">
        <f t="shared" si="4"/>
        <v>0.16073993958761948</v>
      </c>
    </row>
    <row r="66" spans="1:4" x14ac:dyDescent="0.2">
      <c r="A66" s="3">
        <f t="shared" si="0"/>
        <v>8.0000000000000071E-2</v>
      </c>
      <c r="B66" s="3">
        <v>1.08</v>
      </c>
      <c r="C66">
        <f t="shared" si="4"/>
        <v>2.2232861471984548E-2</v>
      </c>
      <c r="D66">
        <f t="shared" si="4"/>
        <v>0.18972021037053297</v>
      </c>
    </row>
    <row r="67" spans="1:4" x14ac:dyDescent="0.2">
      <c r="A67" s="3">
        <f t="shared" si="0"/>
        <v>8.2000000000000073E-2</v>
      </c>
      <c r="B67" s="3">
        <v>1.0820000000000001</v>
      </c>
      <c r="C67">
        <f t="shared" si="4"/>
        <v>2.4694393394618708E-2</v>
      </c>
      <c r="D67">
        <f t="shared" si="4"/>
        <v>0.22385633919825809</v>
      </c>
    </row>
    <row r="68" spans="1:4" x14ac:dyDescent="0.2">
      <c r="A68" s="3">
        <f t="shared" si="0"/>
        <v>8.4000000000000075E-2</v>
      </c>
      <c r="B68" s="3">
        <v>1.0840000000000001</v>
      </c>
      <c r="C68">
        <f t="shared" si="4"/>
        <v>2.742236668364112E-2</v>
      </c>
      <c r="D68">
        <f t="shared" si="4"/>
        <v>0.26405346733517182</v>
      </c>
    </row>
    <row r="69" spans="1:4" x14ac:dyDescent="0.2">
      <c r="A69" s="3">
        <f t="shared" si="0"/>
        <v>8.6000000000000076E-2</v>
      </c>
      <c r="B69" s="3">
        <v>1.0860000000000001</v>
      </c>
      <c r="C69">
        <f t="shared" si="4"/>
        <v>3.044508939822271E-2</v>
      </c>
      <c r="D69">
        <f t="shared" si="4"/>
        <v>0.31137350844620432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2020-10-19T00:39:54Z</dcterms:modified>
  <cp:category/>
  <cp:contentStatus/>
</cp:coreProperties>
</file>