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2140" yWindow="1580" windowWidth="26480" windowHeight="16680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" l="1"/>
  <c r="AQ4" i="2"/>
  <c r="O3" i="2"/>
  <c r="P3" i="2"/>
  <c r="C3" i="2"/>
  <c r="D3" i="2"/>
  <c r="AJ5" i="2"/>
  <c r="Q3" i="2"/>
  <c r="E3" i="2"/>
  <c r="AK5" i="2"/>
  <c r="R3" i="2"/>
  <c r="F3" i="2"/>
  <c r="AL5" i="2"/>
  <c r="S3" i="2"/>
  <c r="G3" i="2"/>
  <c r="AM5" i="2"/>
  <c r="T3" i="2"/>
  <c r="H3" i="2"/>
  <c r="AN5" i="2"/>
  <c r="U3" i="2"/>
  <c r="I3" i="2"/>
  <c r="AO5" i="2"/>
  <c r="V3" i="2"/>
  <c r="J3" i="2"/>
  <c r="AP5" i="2"/>
  <c r="AR5" i="2"/>
  <c r="O4" i="2"/>
  <c r="P4" i="2"/>
  <c r="C4" i="2"/>
  <c r="D4" i="2"/>
  <c r="AJ6" i="2"/>
  <c r="Q4" i="2"/>
  <c r="E4" i="2"/>
  <c r="AK6" i="2"/>
  <c r="R4" i="2"/>
  <c r="F4" i="2"/>
  <c r="AL6" i="2"/>
  <c r="S4" i="2"/>
  <c r="G4" i="2"/>
  <c r="AM6" i="2"/>
  <c r="T4" i="2"/>
  <c r="H4" i="2"/>
  <c r="AN6" i="2"/>
  <c r="U4" i="2"/>
  <c r="I4" i="2"/>
  <c r="AO6" i="2"/>
  <c r="V4" i="2"/>
  <c r="J4" i="2"/>
  <c r="AP6" i="2"/>
  <c r="AR6" i="2"/>
  <c r="O5" i="2"/>
  <c r="P5" i="2"/>
  <c r="C5" i="2"/>
  <c r="D5" i="2"/>
  <c r="AJ7" i="2"/>
  <c r="Q5" i="2"/>
  <c r="E5" i="2"/>
  <c r="AK7" i="2"/>
  <c r="R5" i="2"/>
  <c r="F5" i="2"/>
  <c r="AL7" i="2"/>
  <c r="S5" i="2"/>
  <c r="G5" i="2"/>
  <c r="AM7" i="2"/>
  <c r="T5" i="2"/>
  <c r="H5" i="2"/>
  <c r="AN7" i="2"/>
  <c r="U5" i="2"/>
  <c r="I5" i="2"/>
  <c r="AO7" i="2"/>
  <c r="V5" i="2"/>
  <c r="J5" i="2"/>
  <c r="AP7" i="2"/>
  <c r="AR7" i="2"/>
  <c r="O6" i="2"/>
  <c r="P6" i="2"/>
  <c r="C6" i="2"/>
  <c r="D6" i="2"/>
  <c r="AJ8" i="2"/>
  <c r="Q6" i="2"/>
  <c r="E6" i="2"/>
  <c r="AK8" i="2"/>
  <c r="R6" i="2"/>
  <c r="F6" i="2"/>
  <c r="AL8" i="2"/>
  <c r="S6" i="2"/>
  <c r="G6" i="2"/>
  <c r="AM8" i="2"/>
  <c r="T6" i="2"/>
  <c r="H6" i="2"/>
  <c r="AN8" i="2"/>
  <c r="U6" i="2"/>
  <c r="I6" i="2"/>
  <c r="AO8" i="2"/>
  <c r="V6" i="2"/>
  <c r="J6" i="2"/>
  <c r="AP8" i="2"/>
  <c r="AR8" i="2"/>
  <c r="O7" i="2"/>
  <c r="P7" i="2"/>
  <c r="C7" i="2"/>
  <c r="D7" i="2"/>
  <c r="AJ9" i="2"/>
  <c r="Q7" i="2"/>
  <c r="E7" i="2"/>
  <c r="AK9" i="2"/>
  <c r="R7" i="2"/>
  <c r="F7" i="2"/>
  <c r="AL9" i="2"/>
  <c r="S7" i="2"/>
  <c r="G7" i="2"/>
  <c r="AM9" i="2"/>
  <c r="T7" i="2"/>
  <c r="H7" i="2"/>
  <c r="AN9" i="2"/>
  <c r="U7" i="2"/>
  <c r="I7" i="2"/>
  <c r="AO9" i="2"/>
  <c r="V7" i="2"/>
  <c r="J7" i="2"/>
  <c r="AP9" i="2"/>
  <c r="AR9" i="2"/>
  <c r="O8" i="2"/>
  <c r="P8" i="2"/>
  <c r="C8" i="2"/>
  <c r="D8" i="2"/>
  <c r="AJ10" i="2"/>
  <c r="Q8" i="2"/>
  <c r="E8" i="2"/>
  <c r="AK10" i="2"/>
  <c r="R8" i="2"/>
  <c r="F8" i="2"/>
  <c r="AL10" i="2"/>
  <c r="S8" i="2"/>
  <c r="G8" i="2"/>
  <c r="AM10" i="2"/>
  <c r="T8" i="2"/>
  <c r="H8" i="2"/>
  <c r="AN10" i="2"/>
  <c r="U8" i="2"/>
  <c r="I8" i="2"/>
  <c r="AO10" i="2"/>
  <c r="V8" i="2"/>
  <c r="J8" i="2"/>
  <c r="AP10" i="2"/>
  <c r="AR10" i="2"/>
  <c r="O9" i="2"/>
  <c r="P9" i="2"/>
  <c r="C9" i="2"/>
  <c r="D9" i="2"/>
  <c r="AJ11" i="2"/>
  <c r="Q9" i="2"/>
  <c r="E9" i="2"/>
  <c r="AK11" i="2"/>
  <c r="R9" i="2"/>
  <c r="F9" i="2"/>
  <c r="AL11" i="2"/>
  <c r="S9" i="2"/>
  <c r="G9" i="2"/>
  <c r="AM11" i="2"/>
  <c r="T9" i="2"/>
  <c r="H9" i="2"/>
  <c r="AN11" i="2"/>
  <c r="U9" i="2"/>
  <c r="I9" i="2"/>
  <c r="AO11" i="2"/>
  <c r="V9" i="2"/>
  <c r="J9" i="2"/>
  <c r="AP11" i="2"/>
  <c r="AR11" i="2"/>
  <c r="O10" i="2"/>
  <c r="P10" i="2"/>
  <c r="C10" i="2"/>
  <c r="D10" i="2"/>
  <c r="AJ12" i="2"/>
  <c r="Q10" i="2"/>
  <c r="E10" i="2"/>
  <c r="AK12" i="2"/>
  <c r="R10" i="2"/>
  <c r="F10" i="2"/>
  <c r="AL12" i="2"/>
  <c r="S10" i="2"/>
  <c r="G10" i="2"/>
  <c r="AM12" i="2"/>
  <c r="T10" i="2"/>
  <c r="H10" i="2"/>
  <c r="AN12" i="2"/>
  <c r="U10" i="2"/>
  <c r="I10" i="2"/>
  <c r="AO12" i="2"/>
  <c r="V10" i="2"/>
  <c r="J10" i="2"/>
  <c r="AP12" i="2"/>
  <c r="AR12" i="2"/>
  <c r="O11" i="2"/>
  <c r="P11" i="2"/>
  <c r="C11" i="2"/>
  <c r="D11" i="2"/>
  <c r="AJ13" i="2"/>
  <c r="Q11" i="2"/>
  <c r="E11" i="2"/>
  <c r="AK13" i="2"/>
  <c r="R11" i="2"/>
  <c r="F11" i="2"/>
  <c r="AL13" i="2"/>
  <c r="S11" i="2"/>
  <c r="G11" i="2"/>
  <c r="AM13" i="2"/>
  <c r="T11" i="2"/>
  <c r="H11" i="2"/>
  <c r="AN13" i="2"/>
  <c r="U11" i="2"/>
  <c r="I11" i="2"/>
  <c r="AO13" i="2"/>
  <c r="V11" i="2"/>
  <c r="J11" i="2"/>
  <c r="AP13" i="2"/>
  <c r="AR13" i="2"/>
  <c r="O12" i="2"/>
  <c r="P12" i="2"/>
  <c r="C12" i="2"/>
  <c r="D12" i="2"/>
  <c r="AJ14" i="2"/>
  <c r="Q12" i="2"/>
  <c r="E12" i="2"/>
  <c r="AK14" i="2"/>
  <c r="R12" i="2"/>
  <c r="F12" i="2"/>
  <c r="AL14" i="2"/>
  <c r="S12" i="2"/>
  <c r="G12" i="2"/>
  <c r="AM14" i="2"/>
  <c r="T12" i="2"/>
  <c r="H12" i="2"/>
  <c r="AN14" i="2"/>
  <c r="U12" i="2"/>
  <c r="I12" i="2"/>
  <c r="AO14" i="2"/>
  <c r="V12" i="2"/>
  <c r="J12" i="2"/>
  <c r="AP14" i="2"/>
  <c r="AR14" i="2"/>
  <c r="O13" i="2"/>
  <c r="P13" i="2"/>
  <c r="C13" i="2"/>
  <c r="D13" i="2"/>
  <c r="AJ15" i="2"/>
  <c r="Q13" i="2"/>
  <c r="E13" i="2"/>
  <c r="AK15" i="2"/>
  <c r="R13" i="2"/>
  <c r="F13" i="2"/>
  <c r="AL15" i="2"/>
  <c r="S13" i="2"/>
  <c r="G13" i="2"/>
  <c r="AM15" i="2"/>
  <c r="T13" i="2"/>
  <c r="H13" i="2"/>
  <c r="AN15" i="2"/>
  <c r="U13" i="2"/>
  <c r="I13" i="2"/>
  <c r="AO15" i="2"/>
  <c r="V13" i="2"/>
  <c r="J13" i="2"/>
  <c r="AP15" i="2"/>
  <c r="AR15" i="2"/>
  <c r="O14" i="2"/>
  <c r="P14" i="2"/>
  <c r="C14" i="2"/>
  <c r="D14" i="2"/>
  <c r="AJ16" i="2"/>
  <c r="Q14" i="2"/>
  <c r="E14" i="2"/>
  <c r="AK16" i="2"/>
  <c r="R14" i="2"/>
  <c r="F14" i="2"/>
  <c r="AL16" i="2"/>
  <c r="S14" i="2"/>
  <c r="G14" i="2"/>
  <c r="AM16" i="2"/>
  <c r="T14" i="2"/>
  <c r="H14" i="2"/>
  <c r="AN16" i="2"/>
  <c r="U14" i="2"/>
  <c r="I14" i="2"/>
  <c r="AO16" i="2"/>
  <c r="V14" i="2"/>
  <c r="J14" i="2"/>
  <c r="AP16" i="2"/>
  <c r="AR16" i="2"/>
  <c r="O15" i="2"/>
  <c r="P15" i="2"/>
  <c r="C15" i="2"/>
  <c r="D15" i="2"/>
  <c r="AJ17" i="2"/>
  <c r="Q15" i="2"/>
  <c r="E15" i="2"/>
  <c r="AK17" i="2"/>
  <c r="R15" i="2"/>
  <c r="F15" i="2"/>
  <c r="AL17" i="2"/>
  <c r="S15" i="2"/>
  <c r="G15" i="2"/>
  <c r="AM17" i="2"/>
  <c r="T15" i="2"/>
  <c r="H15" i="2"/>
  <c r="AN17" i="2"/>
  <c r="U15" i="2"/>
  <c r="I15" i="2"/>
  <c r="AO17" i="2"/>
  <c r="V15" i="2"/>
  <c r="J15" i="2"/>
  <c r="AP17" i="2"/>
  <c r="AR17" i="2"/>
  <c r="O16" i="2"/>
  <c r="P16" i="2"/>
  <c r="C16" i="2"/>
  <c r="D16" i="2"/>
  <c r="AJ18" i="2"/>
  <c r="Q16" i="2"/>
  <c r="E16" i="2"/>
  <c r="AK18" i="2"/>
  <c r="R16" i="2"/>
  <c r="F16" i="2"/>
  <c r="AL18" i="2"/>
  <c r="S16" i="2"/>
  <c r="G16" i="2"/>
  <c r="AM18" i="2"/>
  <c r="T16" i="2"/>
  <c r="H16" i="2"/>
  <c r="AN18" i="2"/>
  <c r="U16" i="2"/>
  <c r="I16" i="2"/>
  <c r="AO18" i="2"/>
  <c r="V16" i="2"/>
  <c r="J16" i="2"/>
  <c r="AP18" i="2"/>
  <c r="AR18" i="2"/>
  <c r="O17" i="2"/>
  <c r="P17" i="2"/>
  <c r="C17" i="2"/>
  <c r="D17" i="2"/>
  <c r="AJ19" i="2"/>
  <c r="Q17" i="2"/>
  <c r="E17" i="2"/>
  <c r="AK19" i="2"/>
  <c r="R17" i="2"/>
  <c r="F17" i="2"/>
  <c r="AL19" i="2"/>
  <c r="S17" i="2"/>
  <c r="G17" i="2"/>
  <c r="AM19" i="2"/>
  <c r="T17" i="2"/>
  <c r="H17" i="2"/>
  <c r="AN19" i="2"/>
  <c r="U17" i="2"/>
  <c r="I17" i="2"/>
  <c r="AO19" i="2"/>
  <c r="V17" i="2"/>
  <c r="J17" i="2"/>
  <c r="AP19" i="2"/>
  <c r="AR19" i="2"/>
  <c r="O18" i="2"/>
  <c r="P18" i="2"/>
  <c r="C18" i="2"/>
  <c r="D18" i="2"/>
  <c r="AJ20" i="2"/>
  <c r="Q18" i="2"/>
  <c r="E18" i="2"/>
  <c r="AK20" i="2"/>
  <c r="R18" i="2"/>
  <c r="F18" i="2"/>
  <c r="AL20" i="2"/>
  <c r="S18" i="2"/>
  <c r="G18" i="2"/>
  <c r="AM20" i="2"/>
  <c r="T18" i="2"/>
  <c r="H18" i="2"/>
  <c r="AN20" i="2"/>
  <c r="U18" i="2"/>
  <c r="I18" i="2"/>
  <c r="AO20" i="2"/>
  <c r="V18" i="2"/>
  <c r="J18" i="2"/>
  <c r="AP20" i="2"/>
  <c r="AR20" i="2"/>
  <c r="O19" i="2"/>
  <c r="P19" i="2"/>
  <c r="C19" i="2"/>
  <c r="D19" i="2"/>
  <c r="AJ21" i="2"/>
  <c r="Q19" i="2"/>
  <c r="E19" i="2"/>
  <c r="AK21" i="2"/>
  <c r="R19" i="2"/>
  <c r="F19" i="2"/>
  <c r="AL21" i="2"/>
  <c r="S19" i="2"/>
  <c r="G19" i="2"/>
  <c r="AM21" i="2"/>
  <c r="T19" i="2"/>
  <c r="H19" i="2"/>
  <c r="AN21" i="2"/>
  <c r="U19" i="2"/>
  <c r="I19" i="2"/>
  <c r="AO21" i="2"/>
  <c r="V19" i="2"/>
  <c r="J19" i="2"/>
  <c r="AP21" i="2"/>
  <c r="AR21" i="2"/>
  <c r="O20" i="2"/>
  <c r="P20" i="2"/>
  <c r="C20" i="2"/>
  <c r="D20" i="2"/>
  <c r="AJ22" i="2"/>
  <c r="Q20" i="2"/>
  <c r="E20" i="2"/>
  <c r="AK22" i="2"/>
  <c r="R20" i="2"/>
  <c r="F20" i="2"/>
  <c r="AL22" i="2"/>
  <c r="S20" i="2"/>
  <c r="G20" i="2"/>
  <c r="AM22" i="2"/>
  <c r="T20" i="2"/>
  <c r="H20" i="2"/>
  <c r="AN22" i="2"/>
  <c r="U20" i="2"/>
  <c r="I20" i="2"/>
  <c r="AO22" i="2"/>
  <c r="V20" i="2"/>
  <c r="J20" i="2"/>
  <c r="AP22" i="2"/>
  <c r="AR22" i="2"/>
  <c r="O21" i="2"/>
  <c r="P21" i="2"/>
  <c r="C21" i="2"/>
  <c r="D21" i="2"/>
  <c r="AJ23" i="2"/>
  <c r="Q21" i="2"/>
  <c r="E21" i="2"/>
  <c r="AK23" i="2"/>
  <c r="R21" i="2"/>
  <c r="F21" i="2"/>
  <c r="AL23" i="2"/>
  <c r="S21" i="2"/>
  <c r="G21" i="2"/>
  <c r="AM23" i="2"/>
  <c r="T21" i="2"/>
  <c r="H21" i="2"/>
  <c r="AN23" i="2"/>
  <c r="U21" i="2"/>
  <c r="I21" i="2"/>
  <c r="AO23" i="2"/>
  <c r="V21" i="2"/>
  <c r="J21" i="2"/>
  <c r="AP23" i="2"/>
  <c r="AR23" i="2"/>
  <c r="O22" i="2"/>
  <c r="P22" i="2"/>
  <c r="C22" i="2"/>
  <c r="D22" i="2"/>
  <c r="AJ24" i="2"/>
  <c r="Q22" i="2"/>
  <c r="E22" i="2"/>
  <c r="AK24" i="2"/>
  <c r="R22" i="2"/>
  <c r="F22" i="2"/>
  <c r="AL24" i="2"/>
  <c r="S22" i="2"/>
  <c r="G22" i="2"/>
  <c r="AM24" i="2"/>
  <c r="T22" i="2"/>
  <c r="H22" i="2"/>
  <c r="AN24" i="2"/>
  <c r="U22" i="2"/>
  <c r="I22" i="2"/>
  <c r="AO24" i="2"/>
  <c r="V22" i="2"/>
  <c r="J22" i="2"/>
  <c r="AP24" i="2"/>
  <c r="AR24" i="2"/>
  <c r="O23" i="2"/>
  <c r="P23" i="2"/>
  <c r="C23" i="2"/>
  <c r="D23" i="2"/>
  <c r="AJ25" i="2"/>
  <c r="Q23" i="2"/>
  <c r="E23" i="2"/>
  <c r="AK25" i="2"/>
  <c r="R23" i="2"/>
  <c r="F23" i="2"/>
  <c r="AL25" i="2"/>
  <c r="S23" i="2"/>
  <c r="G23" i="2"/>
  <c r="AM25" i="2"/>
  <c r="T23" i="2"/>
  <c r="H23" i="2"/>
  <c r="AN25" i="2"/>
  <c r="U23" i="2"/>
  <c r="I23" i="2"/>
  <c r="AO25" i="2"/>
  <c r="V23" i="2"/>
  <c r="J23" i="2"/>
  <c r="AP25" i="2"/>
  <c r="AR25" i="2"/>
  <c r="O24" i="2"/>
  <c r="P24" i="2"/>
  <c r="C24" i="2"/>
  <c r="D24" i="2"/>
  <c r="AJ26" i="2"/>
  <c r="Q24" i="2"/>
  <c r="E24" i="2"/>
  <c r="AK26" i="2"/>
  <c r="R24" i="2"/>
  <c r="F24" i="2"/>
  <c r="AL26" i="2"/>
  <c r="S24" i="2"/>
  <c r="G24" i="2"/>
  <c r="AM26" i="2"/>
  <c r="T24" i="2"/>
  <c r="H24" i="2"/>
  <c r="AN26" i="2"/>
  <c r="U24" i="2"/>
  <c r="I24" i="2"/>
  <c r="AO26" i="2"/>
  <c r="V24" i="2"/>
  <c r="J24" i="2"/>
  <c r="AP26" i="2"/>
  <c r="AR26" i="2"/>
  <c r="O25" i="2"/>
  <c r="P25" i="2"/>
  <c r="C25" i="2"/>
  <c r="D25" i="2"/>
  <c r="AJ27" i="2"/>
  <c r="Q25" i="2"/>
  <c r="E25" i="2"/>
  <c r="AK27" i="2"/>
  <c r="R25" i="2"/>
  <c r="F25" i="2"/>
  <c r="AL27" i="2"/>
  <c r="S25" i="2"/>
  <c r="G25" i="2"/>
  <c r="AM27" i="2"/>
  <c r="T25" i="2"/>
  <c r="H25" i="2"/>
  <c r="AN27" i="2"/>
  <c r="U25" i="2"/>
  <c r="I25" i="2"/>
  <c r="AO27" i="2"/>
  <c r="V25" i="2"/>
  <c r="J25" i="2"/>
  <c r="AP27" i="2"/>
  <c r="AR27" i="2"/>
  <c r="O26" i="2"/>
  <c r="P26" i="2"/>
  <c r="C26" i="2"/>
  <c r="D26" i="2"/>
  <c r="AJ28" i="2"/>
  <c r="Q26" i="2"/>
  <c r="E26" i="2"/>
  <c r="AK28" i="2"/>
  <c r="R26" i="2"/>
  <c r="F26" i="2"/>
  <c r="AL28" i="2"/>
  <c r="S26" i="2"/>
  <c r="G26" i="2"/>
  <c r="AM28" i="2"/>
  <c r="T26" i="2"/>
  <c r="H26" i="2"/>
  <c r="AN28" i="2"/>
  <c r="U26" i="2"/>
  <c r="I26" i="2"/>
  <c r="AO28" i="2"/>
  <c r="V26" i="2"/>
  <c r="J26" i="2"/>
  <c r="AP28" i="2"/>
  <c r="AR28" i="2"/>
  <c r="O27" i="2"/>
  <c r="P27" i="2"/>
  <c r="C27" i="2"/>
  <c r="D27" i="2"/>
  <c r="AJ29" i="2"/>
  <c r="Q27" i="2"/>
  <c r="E27" i="2"/>
  <c r="AK29" i="2"/>
  <c r="R27" i="2"/>
  <c r="F27" i="2"/>
  <c r="AL29" i="2"/>
  <c r="S27" i="2"/>
  <c r="G27" i="2"/>
  <c r="AM29" i="2"/>
  <c r="T27" i="2"/>
  <c r="H27" i="2"/>
  <c r="AN29" i="2"/>
  <c r="U27" i="2"/>
  <c r="I27" i="2"/>
  <c r="AO29" i="2"/>
  <c r="V27" i="2"/>
  <c r="J27" i="2"/>
  <c r="AP29" i="2"/>
  <c r="AR29" i="2"/>
  <c r="O28" i="2"/>
  <c r="P28" i="2"/>
  <c r="C28" i="2"/>
  <c r="D28" i="2"/>
  <c r="AJ30" i="2"/>
  <c r="Q28" i="2"/>
  <c r="E28" i="2"/>
  <c r="AK30" i="2"/>
  <c r="R28" i="2"/>
  <c r="F28" i="2"/>
  <c r="AL30" i="2"/>
  <c r="S28" i="2"/>
  <c r="G28" i="2"/>
  <c r="AM30" i="2"/>
  <c r="T28" i="2"/>
  <c r="H28" i="2"/>
  <c r="AN30" i="2"/>
  <c r="U28" i="2"/>
  <c r="I28" i="2"/>
  <c r="AO30" i="2"/>
  <c r="V28" i="2"/>
  <c r="J28" i="2"/>
  <c r="AP30" i="2"/>
  <c r="AR30" i="2"/>
  <c r="O29" i="2"/>
  <c r="P29" i="2"/>
  <c r="C29" i="2"/>
  <c r="D29" i="2"/>
  <c r="AJ31" i="2"/>
  <c r="Q29" i="2"/>
  <c r="E29" i="2"/>
  <c r="AK31" i="2"/>
  <c r="R29" i="2"/>
  <c r="F29" i="2"/>
  <c r="AL31" i="2"/>
  <c r="S29" i="2"/>
  <c r="G29" i="2"/>
  <c r="AM31" i="2"/>
  <c r="T29" i="2"/>
  <c r="H29" i="2"/>
  <c r="AN31" i="2"/>
  <c r="U29" i="2"/>
  <c r="I29" i="2"/>
  <c r="AO31" i="2"/>
  <c r="V29" i="2"/>
  <c r="J29" i="2"/>
  <c r="AP31" i="2"/>
  <c r="AR31" i="2"/>
  <c r="O30" i="2"/>
  <c r="P30" i="2"/>
  <c r="C30" i="2"/>
  <c r="D30" i="2"/>
  <c r="AJ32" i="2"/>
  <c r="Q30" i="2"/>
  <c r="E30" i="2"/>
  <c r="AK32" i="2"/>
  <c r="R30" i="2"/>
  <c r="F30" i="2"/>
  <c r="AL32" i="2"/>
  <c r="S30" i="2"/>
  <c r="G30" i="2"/>
  <c r="AM32" i="2"/>
  <c r="T30" i="2"/>
  <c r="H30" i="2"/>
  <c r="AN32" i="2"/>
  <c r="U30" i="2"/>
  <c r="I30" i="2"/>
  <c r="AO32" i="2"/>
  <c r="V30" i="2"/>
  <c r="J30" i="2"/>
  <c r="AP32" i="2"/>
  <c r="AR32" i="2"/>
  <c r="O31" i="2"/>
  <c r="P31" i="2"/>
  <c r="C31" i="2"/>
  <c r="D31" i="2"/>
  <c r="AJ33" i="2"/>
  <c r="Q31" i="2"/>
  <c r="E31" i="2"/>
  <c r="AK33" i="2"/>
  <c r="R31" i="2"/>
  <c r="F31" i="2"/>
  <c r="AL33" i="2"/>
  <c r="S31" i="2"/>
  <c r="G31" i="2"/>
  <c r="AM33" i="2"/>
  <c r="T31" i="2"/>
  <c r="H31" i="2"/>
  <c r="AN33" i="2"/>
  <c r="U31" i="2"/>
  <c r="I31" i="2"/>
  <c r="AO33" i="2"/>
  <c r="V31" i="2"/>
  <c r="J31" i="2"/>
  <c r="AP33" i="2"/>
  <c r="AR33" i="2"/>
  <c r="O32" i="2"/>
  <c r="P32" i="2"/>
  <c r="C32" i="2"/>
  <c r="D32" i="2"/>
  <c r="AJ34" i="2"/>
  <c r="Q32" i="2"/>
  <c r="E32" i="2"/>
  <c r="AK34" i="2"/>
  <c r="R32" i="2"/>
  <c r="F32" i="2"/>
  <c r="AL34" i="2"/>
  <c r="S32" i="2"/>
  <c r="G32" i="2"/>
  <c r="AM34" i="2"/>
  <c r="T32" i="2"/>
  <c r="H32" i="2"/>
  <c r="AN34" i="2"/>
  <c r="U32" i="2"/>
  <c r="I32" i="2"/>
  <c r="AO34" i="2"/>
  <c r="V32" i="2"/>
  <c r="J32" i="2"/>
  <c r="AP34" i="2"/>
  <c r="AR34" i="2"/>
  <c r="P2" i="2"/>
  <c r="D2" i="2"/>
  <c r="Q2" i="2"/>
  <c r="E2" i="2"/>
  <c r="AK4" i="2"/>
  <c r="R2" i="2"/>
  <c r="F2" i="2"/>
  <c r="AL4" i="2"/>
  <c r="S2" i="2"/>
  <c r="G2" i="2"/>
  <c r="AM4" i="2"/>
  <c r="T2" i="2"/>
  <c r="H2" i="2"/>
  <c r="AN4" i="2"/>
  <c r="U2" i="2"/>
  <c r="I2" i="2"/>
  <c r="AO4" i="2"/>
  <c r="V2" i="2"/>
  <c r="J2" i="2"/>
  <c r="AP4" i="2"/>
  <c r="AR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X2" i="2"/>
  <c r="W2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X10" i="2"/>
  <c r="W10" i="2"/>
  <c r="X9" i="2"/>
  <c r="W9" i="2"/>
  <c r="X8" i="2"/>
  <c r="W8" i="2"/>
  <c r="X7" i="2"/>
  <c r="W7" i="2"/>
  <c r="X6" i="2"/>
  <c r="W6" i="2"/>
  <c r="X5" i="2"/>
  <c r="W5" i="2"/>
  <c r="X4" i="2"/>
  <c r="W4" i="2"/>
  <c r="X3" i="2"/>
  <c r="W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</calcChain>
</file>

<file path=xl/sharedStrings.xml><?xml version="1.0" encoding="utf-8"?>
<sst xmlns="http://schemas.openxmlformats.org/spreadsheetml/2006/main" count="36" uniqueCount="16">
  <si>
    <t>Stress</t>
  </si>
  <si>
    <t>E1_E</t>
  </si>
  <si>
    <t>E2_E</t>
  </si>
  <si>
    <t>E3_E</t>
  </si>
  <si>
    <t>E4_E</t>
  </si>
  <si>
    <t>E5_E</t>
  </si>
  <si>
    <t>E6_E</t>
  </si>
  <si>
    <t>E7_E</t>
  </si>
  <si>
    <t>Average</t>
  </si>
  <si>
    <t>STD</t>
  </si>
  <si>
    <t>Ratio of tangent modulus</t>
  </si>
  <si>
    <t>(Ecxl/Ectl)</t>
  </si>
  <si>
    <t>Figure 6B</t>
  </si>
  <si>
    <t>Figure 6A</t>
  </si>
  <si>
    <t>After CXL</t>
  </si>
  <si>
    <t>Before CXL (Ctl)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</si>
</sst>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externalLink" Target="externalLinks/externalLink2.xml"/><Relationship Id="rId4" Type="http://schemas.openxmlformats.org/officeDocument/2006/relationships/externalLink" Target="externalLinks/externalLink3.xml"/><Relationship Id="rId5" Type="http://schemas.openxmlformats.org/officeDocument/2006/relationships/externalLink" Target="externalLinks/externalLink4.xml"/><Relationship Id="rId6" Type="http://schemas.openxmlformats.org/officeDocument/2006/relationships/externalLink" Target="externalLinks/externalLink5.xml"/><Relationship Id="rId7" Type="http://schemas.openxmlformats.org/officeDocument/2006/relationships/externalLink" Target="externalLinks/externalLink6.xml"/><Relationship Id="rId8" Type="http://schemas.openxmlformats.org/officeDocument/2006/relationships/externalLink" Target="externalLinks/externalLink7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1B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0964577625261782"/>
                  <c:y val="0.3177138360810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[7]MC1!$C$30:$C$53</c:f>
              <c:numCache>
                <c:formatCode>General</c:formatCode>
                <c:ptCount val="24"/>
                <c:pt idx="0">
                  <c:v>0.0</c:v>
                </c:pt>
                <c:pt idx="1">
                  <c:v>6.42377928507225E-5</c:v>
                </c:pt>
                <c:pt idx="2">
                  <c:v>0.000135767213690253</c:v>
                </c:pt>
                <c:pt idx="3">
                  <c:v>0.000216641550448291</c:v>
                </c:pt>
                <c:pt idx="4">
                  <c:v>0.000309272767695561</c:v>
                </c:pt>
                <c:pt idx="5">
                  <c:v>0.000416508133389942</c:v>
                </c:pt>
                <c:pt idx="6">
                  <c:v>0.000541721334868142</c:v>
                </c:pt>
                <c:pt idx="7">
                  <c:v>0.000688920942005583</c:v>
                </c:pt>
                <c:pt idx="8">
                  <c:v>0.0008628796154544</c:v>
                </c:pt>
                <c:pt idx="9">
                  <c:v>0.00106928810014757</c:v>
                </c:pt>
                <c:pt idx="10">
                  <c:v>0.0013149388077675</c:v>
                </c:pt>
                <c:pt idx="11">
                  <c:v>0.00160794469903818</c:v>
                </c:pt>
                <c:pt idx="12">
                  <c:v>0.00195800025403556</c:v>
                </c:pt>
                <c:pt idx="13">
                  <c:v>0.00237669259758821</c:v>
                </c:pt>
                <c:pt idx="14">
                  <c:v>0.00287787236434583</c:v>
                </c:pt>
                <c:pt idx="15">
                  <c:v>0.00347809568804954</c:v>
                </c:pt>
                <c:pt idx="16">
                  <c:v>0.00419715083372264</c:v>
                </c:pt>
                <c:pt idx="17">
                  <c:v>0.00505868552105472</c:v>
                </c:pt>
                <c:pt idx="18">
                  <c:v>0.00609095398436301</c:v>
                </c:pt>
                <c:pt idx="19">
                  <c:v>0.00732770636437122</c:v>
                </c:pt>
                <c:pt idx="20">
                  <c:v>0.00880924723015632</c:v>
                </c:pt>
                <c:pt idx="21">
                  <c:v>0.0105836950045156</c:v>
                </c:pt>
                <c:pt idx="22">
                  <c:v>0.0127084799524586</c:v>
                </c:pt>
                <c:pt idx="23">
                  <c:v>0.0152521253552577</c:v>
                </c:pt>
              </c:numCache>
            </c:numRef>
          </c:xVal>
          <c:yVal>
            <c:numRef>
              <c:f>[7]MC1!$E$30:$E$53</c:f>
              <c:numCache>
                <c:formatCode>General</c:formatCode>
                <c:ptCount val="24"/>
                <c:pt idx="0">
                  <c:v>0.0</c:v>
                </c:pt>
                <c:pt idx="1">
                  <c:v>0.0321188964253612</c:v>
                </c:pt>
                <c:pt idx="2">
                  <c:v>0.0357647104197651</c:v>
                </c:pt>
                <c:pt idx="3">
                  <c:v>0.0404371683790191</c:v>
                </c:pt>
                <c:pt idx="4">
                  <c:v>0.0463156086236347</c:v>
                </c:pt>
                <c:pt idx="5">
                  <c:v>0.0536176828471908</c:v>
                </c:pt>
                <c:pt idx="6">
                  <c:v>0.0626066007390998</c:v>
                </c:pt>
                <c:pt idx="7">
                  <c:v>0.0735998035687206</c:v>
                </c:pt>
                <c:pt idx="8">
                  <c:v>0.0869793367244084</c:v>
                </c:pt>
                <c:pt idx="9">
                  <c:v>0.103204242346587</c:v>
                </c:pt>
                <c:pt idx="10">
                  <c:v>0.122825353809962</c:v>
                </c:pt>
                <c:pt idx="11">
                  <c:v>0.146502945635344</c:v>
                </c:pt>
                <c:pt idx="12">
                  <c:v>0.175027777498686</c:v>
                </c:pt>
                <c:pt idx="13">
                  <c:v>0.209346171776326</c:v>
                </c:pt>
                <c:pt idx="14">
                  <c:v>0.250589883378809</c:v>
                </c:pt>
                <c:pt idx="15">
                  <c:v>0.300111661851858</c:v>
                </c:pt>
                <c:pt idx="16">
                  <c:v>0.359527572836549</c:v>
                </c:pt>
                <c:pt idx="17">
                  <c:v>0.43076734366604</c:v>
                </c:pt>
                <c:pt idx="18">
                  <c:v>0.516134231654146</c:v>
                </c:pt>
                <c:pt idx="19">
                  <c:v>0.618376190004104</c:v>
                </c:pt>
                <c:pt idx="20">
                  <c:v>0.740770432892549</c:v>
                </c:pt>
                <c:pt idx="21">
                  <c:v>0.88722388717965</c:v>
                </c:pt>
                <c:pt idx="22">
                  <c:v>1.062392473971494</c:v>
                </c:pt>
                <c:pt idx="23">
                  <c:v>1.271822701399542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CD2-435C-9B3F-4AB800DB5987}"/>
            </c:ext>
          </c:extLst>
        </c:ser>
        <c:ser>
          <c:idx val="1"/>
          <c:order val="1"/>
          <c:tx>
            <c:v>1A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[7]MC1!$D$30:$D$44</c:f>
              <c:numCache>
                <c:formatCode>General</c:formatCode>
                <c:ptCount val="15"/>
                <c:pt idx="0">
                  <c:v>0.0</c:v>
                </c:pt>
                <c:pt idx="1">
                  <c:v>0.000256227285418991</c:v>
                </c:pt>
                <c:pt idx="2">
                  <c:v>0.000548090344409722</c:v>
                </c:pt>
                <c:pt idx="3">
                  <c:v>0.000887311373088545</c:v>
                </c:pt>
                <c:pt idx="4">
                  <c:v>0.00128810570204754</c:v>
                </c:pt>
                <c:pt idx="5">
                  <c:v>0.00176781457141466</c:v>
                </c:pt>
                <c:pt idx="6">
                  <c:v>0.00234768282358326</c:v>
                </c:pt>
                <c:pt idx="7">
                  <c:v>0.00305381580546717</c:v>
                </c:pt>
                <c:pt idx="8">
                  <c:v>0.00391835761529943</c:v>
                </c:pt>
                <c:pt idx="9">
                  <c:v>0.00498094246552155</c:v>
                </c:pt>
                <c:pt idx="10">
                  <c:v>0.00629048276597614</c:v>
                </c:pt>
                <c:pt idx="11">
                  <c:v>0.00790737205286801</c:v>
                </c:pt>
                <c:pt idx="12">
                  <c:v>0.009906198700616</c:v>
                </c:pt>
                <c:pt idx="13">
                  <c:v>0.0123790881909402</c:v>
                </c:pt>
                <c:pt idx="14">
                  <c:v>0.0154398184739761</c:v>
                </c:pt>
              </c:numCache>
            </c:numRef>
          </c:xVal>
          <c:yVal>
            <c:numRef>
              <c:f>[7]MC1!$F$30:$F$44</c:f>
              <c:numCache>
                <c:formatCode>General</c:formatCode>
                <c:ptCount val="15"/>
                <c:pt idx="0">
                  <c:v>0.0</c:v>
                </c:pt>
                <c:pt idx="1">
                  <c:v>0.128113642709496</c:v>
                </c:pt>
                <c:pt idx="2">
                  <c:v>0.145931529495365</c:v>
                </c:pt>
                <c:pt idx="3">
                  <c:v>0.169610514339411</c:v>
                </c:pt>
                <c:pt idx="4">
                  <c:v>0.200397164479496</c:v>
                </c:pt>
                <c:pt idx="5">
                  <c:v>0.239854434683561</c:v>
                </c:pt>
                <c:pt idx="6">
                  <c:v>0.289934126084301</c:v>
                </c:pt>
                <c:pt idx="7">
                  <c:v>0.353066490941956</c:v>
                </c:pt>
                <c:pt idx="8">
                  <c:v>0.43227090491613</c:v>
                </c:pt>
                <c:pt idx="9">
                  <c:v>0.531292425111055</c:v>
                </c:pt>
                <c:pt idx="10">
                  <c:v>0.654770150227297</c:v>
                </c:pt>
                <c:pt idx="11">
                  <c:v>0.808444643445936</c:v>
                </c:pt>
                <c:pt idx="12">
                  <c:v>0.999413323873995</c:v>
                </c:pt>
                <c:pt idx="13">
                  <c:v>1.236444745162115</c:v>
                </c:pt>
                <c:pt idx="14">
                  <c:v>1.530365141517918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CD2-435C-9B3F-4AB800DB5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384864"/>
        <c:axId val="1274359248"/>
      </c:scatterChart>
      <c:valAx>
        <c:axId val="1274384864"/>
        <c:scaling>
          <c:orientation val="minMax"/>
          <c:max val="0.0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59248"/>
        <c:crosses val="autoZero"/>
        <c:crossBetween val="midCat"/>
      </c:valAx>
      <c:valAx>
        <c:axId val="1274359248"/>
        <c:scaling>
          <c:orientation val="minMax"/>
          <c:max val="2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84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2B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66482413544081"/>
                  <c:y val="0.1529134670523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[6]MC1!$C$30:$C$64</c:f>
              <c:numCache>
                <c:formatCode>General</c:formatCode>
                <c:ptCount val="35"/>
                <c:pt idx="0">
                  <c:v>0.0</c:v>
                </c:pt>
                <c:pt idx="1">
                  <c:v>6.16331555902968E-5</c:v>
                </c:pt>
                <c:pt idx="2">
                  <c:v>0.000126924839945132</c:v>
                </c:pt>
                <c:pt idx="3">
                  <c:v>0.000196502594911539</c:v>
                </c:pt>
                <c:pt idx="4">
                  <c:v>0.000271051506436376</c:v>
                </c:pt>
                <c:pt idx="5">
                  <c:v>0.00035132131749905</c:v>
                </c:pt>
                <c:pt idx="6">
                  <c:v>0.000438134253053662</c:v>
                </c:pt>
                <c:pt idx="7">
                  <c:v>0.000532393635218322</c:v>
                </c:pt>
                <c:pt idx="8">
                  <c:v>0.000635093374755109</c:v>
                </c:pt>
                <c:pt idx="9">
                  <c:v>0.000747328433490543</c:v>
                </c:pt>
                <c:pt idx="10">
                  <c:v>0.00087030636181078</c:v>
                </c:pt>
                <c:pt idx="11">
                  <c:v>0.00100536002581316</c:v>
                </c:pt>
                <c:pt idx="12">
                  <c:v>0.00115396165019921</c:v>
                </c:pt>
                <c:pt idx="13">
                  <c:v>0.00131773831565607</c:v>
                </c:pt>
                <c:pt idx="14">
                  <c:v>0.00149848906340516</c:v>
                </c:pt>
                <c:pt idx="15">
                  <c:v>0.00169820377492199</c:v>
                </c:pt>
                <c:pt idx="16">
                  <c:v>0.00191908401168282</c:v>
                </c:pt>
                <c:pt idx="17">
                  <c:v>0.0021635660183204</c:v>
                </c:pt>
                <c:pt idx="18">
                  <c:v>0.00243434611293276</c:v>
                </c:pt>
                <c:pt idx="19">
                  <c:v>0.00273440871066257</c:v>
                </c:pt>
                <c:pt idx="20">
                  <c:v>0.00306705725124265</c:v>
                </c:pt>
                <c:pt idx="21">
                  <c:v>0.00343594832819763</c:v>
                </c:pt>
                <c:pt idx="22">
                  <c:v>0.00384512934703222</c:v>
                </c:pt>
                <c:pt idx="23">
                  <c:v>0.00429908007227749</c:v>
                </c:pt>
                <c:pt idx="24">
                  <c:v>0.00480275845898221</c:v>
                </c:pt>
                <c:pt idx="25">
                  <c:v>0.00536165120343044</c:v>
                </c:pt>
                <c:pt idx="26">
                  <c:v>0.00598182949086861</c:v>
                </c:pt>
                <c:pt idx="27">
                  <c:v>0.00667001046519553</c:v>
                </c:pt>
                <c:pt idx="28">
                  <c:v>0.00743362499730288</c:v>
                </c:pt>
                <c:pt idx="29">
                  <c:v>0.00828089238548132</c:v>
                </c:pt>
                <c:pt idx="30">
                  <c:v>0.00922090268349898</c:v>
                </c:pt>
                <c:pt idx="31">
                  <c:v>0.0102637074201301</c:v>
                </c:pt>
                <c:pt idx="32">
                  <c:v>0.0114204195486206</c:v>
                </c:pt>
                <c:pt idx="33">
                  <c:v>0.0127033235464404</c:v>
                </c:pt>
                <c:pt idx="34">
                  <c:v>0.0141259966753543</c:v>
                </c:pt>
              </c:numCache>
            </c:numRef>
          </c:xVal>
          <c:yVal>
            <c:numRef>
              <c:f>[6]MC1!$E$30:$E$64</c:f>
              <c:numCache>
                <c:formatCode>General</c:formatCode>
                <c:ptCount val="35"/>
                <c:pt idx="0">
                  <c:v>0.0</c:v>
                </c:pt>
                <c:pt idx="1">
                  <c:v>0.0308165777951483</c:v>
                </c:pt>
                <c:pt idx="2">
                  <c:v>0.0326458421774176</c:v>
                </c:pt>
                <c:pt idx="3">
                  <c:v>0.0347888774832036</c:v>
                </c:pt>
                <c:pt idx="4">
                  <c:v>0.0372744557624186</c:v>
                </c:pt>
                <c:pt idx="5">
                  <c:v>0.0401349055313367</c:v>
                </c:pt>
                <c:pt idx="6">
                  <c:v>0.043406467777306</c:v>
                </c:pt>
                <c:pt idx="7">
                  <c:v>0.0471296910823297</c:v>
                </c:pt>
                <c:pt idx="8">
                  <c:v>0.0513498697683939</c:v>
                </c:pt>
                <c:pt idx="9">
                  <c:v>0.056117529367717</c:v>
                </c:pt>
                <c:pt idx="10">
                  <c:v>0.0614889641601184</c:v>
                </c:pt>
                <c:pt idx="11">
                  <c:v>0.0675268320011888</c:v>
                </c:pt>
                <c:pt idx="12">
                  <c:v>0.0743008121930263</c:v>
                </c:pt>
                <c:pt idx="13">
                  <c:v>0.0818883327284281</c:v>
                </c:pt>
                <c:pt idx="14">
                  <c:v>0.090375373874545</c:v>
                </c:pt>
                <c:pt idx="15">
                  <c:v>0.099857355758416</c:v>
                </c:pt>
                <c:pt idx="16">
                  <c:v>0.110440118380414</c:v>
                </c:pt>
                <c:pt idx="17">
                  <c:v>0.122241003318789</c:v>
                </c:pt>
                <c:pt idx="18">
                  <c:v>0.135390047306182</c:v>
                </c:pt>
                <c:pt idx="19">
                  <c:v>0.150031298864904</c:v>
                </c:pt>
                <c:pt idx="20">
                  <c:v>0.166324270290043</c:v>
                </c:pt>
                <c:pt idx="21">
                  <c:v>0.184445538477487</c:v>
                </c:pt>
                <c:pt idx="22">
                  <c:v>0.204590509417295</c:v>
                </c:pt>
                <c:pt idx="23">
                  <c:v>0.226975362622639</c:v>
                </c:pt>
                <c:pt idx="24">
                  <c:v>0.251839193352356</c:v>
                </c:pt>
                <c:pt idx="25">
                  <c:v>0.279446372224117</c:v>
                </c:pt>
                <c:pt idx="26">
                  <c:v>0.310089143719085</c:v>
                </c:pt>
                <c:pt idx="27">
                  <c:v>0.344090487163457</c:v>
                </c:pt>
                <c:pt idx="28">
                  <c:v>0.381807266053678</c:v>
                </c:pt>
                <c:pt idx="29">
                  <c:v>0.423633694089219</c:v>
                </c:pt>
                <c:pt idx="30">
                  <c:v>0.47000514900883</c:v>
                </c:pt>
                <c:pt idx="31">
                  <c:v>0.521402368315543</c:v>
                </c:pt>
                <c:pt idx="32">
                  <c:v>0.578356064245253</c:v>
                </c:pt>
                <c:pt idx="33">
                  <c:v>0.641451998909934</c:v>
                </c:pt>
                <c:pt idx="34">
                  <c:v>0.71133656445692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A3-4928-A5D7-BBEED6B0D4D7}"/>
            </c:ext>
          </c:extLst>
        </c:ser>
        <c:ser>
          <c:idx val="1"/>
          <c:order val="1"/>
          <c:tx>
            <c:v>2A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[6]MC1!$D$30:$D$55</c:f>
              <c:numCache>
                <c:formatCode>General</c:formatCode>
                <c:ptCount val="26"/>
                <c:pt idx="0">
                  <c:v>0.0</c:v>
                </c:pt>
                <c:pt idx="1">
                  <c:v>8.64252725947647E-5</c:v>
                </c:pt>
                <c:pt idx="2">
                  <c:v>0.000179825553962407</c:v>
                </c:pt>
                <c:pt idx="3">
                  <c:v>0.000281712841120912</c:v>
                </c:pt>
                <c:pt idx="4">
                  <c:v>0.00039378793056344</c:v>
                </c:pt>
                <c:pt idx="5">
                  <c:v>0.000517970625276078</c:v>
                </c:pt>
                <c:pt idx="6">
                  <c:v>0.000656434050842201</c:v>
                </c:pt>
                <c:pt idx="7">
                  <c:v>0.000811643676441554</c:v>
                </c:pt>
                <c:pt idx="8">
                  <c:v>0.000986401717524633</c:v>
                </c:pt>
                <c:pt idx="9">
                  <c:v>0.00118389768904442</c:v>
                </c:pt>
                <c:pt idx="10">
                  <c:v>0.00140776598283346</c:v>
                </c:pt>
                <c:pt idx="11">
                  <c:v>0.00166215146169494</c:v>
                </c:pt>
                <c:pt idx="12">
                  <c:v>0.00195178419792074</c:v>
                </c:pt>
                <c:pt idx="13">
                  <c:v>0.00228206463739537</c:v>
                </c:pt>
                <c:pt idx="14">
                  <c:v>0.00265916064460747</c:v>
                </c:pt>
                <c:pt idx="15">
                  <c:v>0.00309011808150155</c:v>
                </c:pt>
                <c:pt idx="16">
                  <c:v>0.00358298679724886</c:v>
                </c:pt>
                <c:pt idx="17">
                  <c:v>0.00414696416018265</c:v>
                </c:pt>
                <c:pt idx="18">
                  <c:v>0.00479255855126847</c:v>
                </c:pt>
                <c:pt idx="19">
                  <c:v>0.00553177556500961</c:v>
                </c:pt>
                <c:pt idx="20">
                  <c:v>0.00637833003363989</c:v>
                </c:pt>
                <c:pt idx="21">
                  <c:v>0.00734788740949522</c:v>
                </c:pt>
                <c:pt idx="22">
                  <c:v>0.00845833851496933</c:v>
                </c:pt>
                <c:pt idx="23">
                  <c:v>0.00973011220665841</c:v>
                </c:pt>
                <c:pt idx="24">
                  <c:v>0.0111865311083095</c:v>
                </c:pt>
                <c:pt idx="25">
                  <c:v>0.0128542162551734</c:v>
                </c:pt>
              </c:numCache>
            </c:numRef>
          </c:xVal>
          <c:yVal>
            <c:numRef>
              <c:f>[6]MC1!$F$30:$F$55</c:f>
              <c:numCache>
                <c:formatCode>General</c:formatCode>
                <c:ptCount val="26"/>
                <c:pt idx="0">
                  <c:v>0.0</c:v>
                </c:pt>
                <c:pt idx="1">
                  <c:v>0.0432126362973823</c:v>
                </c:pt>
                <c:pt idx="2">
                  <c:v>0.046700140683821</c:v>
                </c:pt>
                <c:pt idx="3">
                  <c:v>0.0509436435792526</c:v>
                </c:pt>
                <c:pt idx="4">
                  <c:v>0.0560375447212641</c:v>
                </c:pt>
                <c:pt idx="5">
                  <c:v>0.0620913473563186</c:v>
                </c:pt>
                <c:pt idx="6">
                  <c:v>0.0692317127830616</c:v>
                </c:pt>
                <c:pt idx="7">
                  <c:v>0.0776048127996766</c:v>
                </c:pt>
                <c:pt idx="8">
                  <c:v>0.0873790205415392</c:v>
                </c:pt>
                <c:pt idx="9">
                  <c:v>0.0987479857598914</c:v>
                </c:pt>
                <c:pt idx="10">
                  <c:v>0.111934146894524</c:v>
                </c:pt>
                <c:pt idx="11">
                  <c:v>0.12719273943074</c:v>
                </c:pt>
                <c:pt idx="12">
                  <c:v>0.144816368112895</c:v>
                </c:pt>
                <c:pt idx="13">
                  <c:v>0.165140219737316</c:v>
                </c:pt>
                <c:pt idx="14">
                  <c:v>0.18854800360605</c:v>
                </c:pt>
                <c:pt idx="15">
                  <c:v>0.21547871844704</c:v>
                </c:pt>
                <c:pt idx="16">
                  <c:v>0.246434357873653</c:v>
                </c:pt>
                <c:pt idx="17">
                  <c:v>0.281988681466896</c:v>
                </c:pt>
                <c:pt idx="18">
                  <c:v>0.322797195542913</c:v>
                </c:pt>
                <c:pt idx="19">
                  <c:v>0.369608506870565</c:v>
                </c:pt>
                <c:pt idx="20">
                  <c:v>0.423277234315141</c:v>
                </c:pt>
                <c:pt idx="21">
                  <c:v>0.484778687927667</c:v>
                </c:pt>
                <c:pt idx="22">
                  <c:v>0.555225552737053</c:v>
                </c:pt>
                <c:pt idx="23">
                  <c:v>0.635886845844542</c:v>
                </c:pt>
                <c:pt idx="24">
                  <c:v>0.728209450825539</c:v>
                </c:pt>
                <c:pt idx="25">
                  <c:v>0.833842573431949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DA3-4928-A5D7-BBEED6B0D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082992"/>
        <c:axId val="1322087264"/>
      </c:scatterChart>
      <c:valAx>
        <c:axId val="1322082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87264"/>
        <c:crosses val="autoZero"/>
        <c:crossBetween val="midCat"/>
      </c:valAx>
      <c:valAx>
        <c:axId val="1322087264"/>
        <c:scaling>
          <c:orientation val="minMax"/>
          <c:max val="2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8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3B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64424541173805"/>
                  <c:y val="0.2031117110015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[5]MC1!$C$30:$C$62</c:f>
              <c:numCache>
                <c:formatCode>General</c:formatCode>
                <c:ptCount val="33"/>
                <c:pt idx="0">
                  <c:v>0.0</c:v>
                </c:pt>
                <c:pt idx="1">
                  <c:v>5.63124800823571E-5</c:v>
                </c:pt>
                <c:pt idx="2">
                  <c:v>0.000116512677957543</c:v>
                </c:pt>
                <c:pt idx="3">
                  <c:v>0.000181348515190904</c:v>
                </c:pt>
                <c:pt idx="4">
                  <c:v>0.000251647806011135</c:v>
                </c:pt>
                <c:pt idx="5">
                  <c:v>0.000328329463013327</c:v>
                </c:pt>
                <c:pt idx="6">
                  <c:v>0.000412416008933246</c:v>
                </c:pt>
                <c:pt idx="7">
                  <c:v>0.00050504755893978</c:v>
                </c:pt>
                <c:pt idx="8">
                  <c:v>0.000607497457025578</c:v>
                </c:pt>
                <c:pt idx="9">
                  <c:v>0.000721189771475729</c:v>
                </c:pt>
                <c:pt idx="10">
                  <c:v>0.000847718878317346</c:v>
                </c:pt>
                <c:pt idx="11">
                  <c:v>0.000988871388384852</c:v>
                </c:pt>
                <c:pt idx="12">
                  <c:v>0.001146650703494</c:v>
                </c:pt>
                <c:pt idx="13">
                  <c:v>0.00132330452055569</c:v>
                </c:pt>
                <c:pt idx="14">
                  <c:v>0.00152135563967114</c:v>
                </c:pt>
                <c:pt idx="15">
                  <c:v>0.00174363647376949</c:v>
                </c:pt>
                <c:pt idx="16">
                  <c:v>0.0019933277036624</c:v>
                </c:pt>
                <c:pt idx="17">
                  <c:v>0.00227400157403727</c:v>
                </c:pt>
                <c:pt idx="18">
                  <c:v>0.00258967038348853</c:v>
                </c:pt>
                <c:pt idx="19">
                  <c:v>0.00294484078586116</c:v>
                </c:pt>
                <c:pt idx="20">
                  <c:v>0.00334457459168923</c:v>
                </c:pt>
                <c:pt idx="21">
                  <c:v>0.00379455683817305</c:v>
                </c:pt>
                <c:pt idx="22">
                  <c:v>0.00430117198486188</c:v>
                </c:pt>
                <c:pt idx="23">
                  <c:v>0.00487158919100108</c:v>
                </c:pt>
                <c:pt idx="24">
                  <c:v>0.00551385774048256</c:v>
                </c:pt>
                <c:pt idx="25">
                  <c:v>0.00623701380274482</c:v>
                </c:pt>
                <c:pt idx="26">
                  <c:v>0.0070511998541779</c:v>
                </c:pt>
                <c:pt idx="27">
                  <c:v>0.00796779823612393</c:v>
                </c:pt>
                <c:pt idx="28">
                  <c:v>0.00899958049411298</c:v>
                </c:pt>
                <c:pt idx="29">
                  <c:v>0.0101608743304088</c:v>
                </c:pt>
                <c:pt idx="30">
                  <c:v>0.011467750210332</c:v>
                </c:pt>
                <c:pt idx="31">
                  <c:v>0.0129382298944735</c:v>
                </c:pt>
                <c:pt idx="32">
                  <c:v>0.0145925194263561</c:v>
                </c:pt>
              </c:numCache>
            </c:numRef>
          </c:xVal>
          <c:yVal>
            <c:numRef>
              <c:f>[5]MC1!$E$30:$E$62</c:f>
              <c:numCache>
                <c:formatCode>General</c:formatCode>
                <c:ptCount val="33"/>
                <c:pt idx="0">
                  <c:v>0.0</c:v>
                </c:pt>
                <c:pt idx="1">
                  <c:v>0.0281562400411785</c:v>
                </c:pt>
                <c:pt idx="2">
                  <c:v>0.0301000989375927</c:v>
                </c:pt>
                <c:pt idx="3">
                  <c:v>0.0324179186166805</c:v>
                </c:pt>
                <c:pt idx="4">
                  <c:v>0.0351496454101157</c:v>
                </c:pt>
                <c:pt idx="5">
                  <c:v>0.038340828501096</c:v>
                </c:pt>
                <c:pt idx="6">
                  <c:v>0.0420432729599594</c:v>
                </c:pt>
                <c:pt idx="7">
                  <c:v>0.0463157750032667</c:v>
                </c:pt>
                <c:pt idx="8">
                  <c:v>0.0512249490428994</c:v>
                </c:pt>
                <c:pt idx="9">
                  <c:v>0.0568461572250751</c:v>
                </c:pt>
                <c:pt idx="10">
                  <c:v>0.0632645534208085</c:v>
                </c:pt>
                <c:pt idx="11">
                  <c:v>0.070576255033753</c:v>
                </c:pt>
                <c:pt idx="12">
                  <c:v>0.0788896575545734</c:v>
                </c:pt>
                <c:pt idx="13">
                  <c:v>0.0883269085308442</c:v>
                </c:pt>
                <c:pt idx="14">
                  <c:v>0.0990255595577283</c:v>
                </c:pt>
                <c:pt idx="15">
                  <c:v>0.111140417049171</c:v>
                </c:pt>
                <c:pt idx="16">
                  <c:v>0.124845614946456</c:v>
                </c:pt>
                <c:pt idx="17">
                  <c:v>0.140336935187438</c:v>
                </c:pt>
                <c:pt idx="18">
                  <c:v>0.157834404725627</c:v>
                </c:pt>
                <c:pt idx="19">
                  <c:v>0.177585201186318</c:v>
                </c:pt>
                <c:pt idx="20">
                  <c:v>0.199866902914034</c:v>
                </c:pt>
                <c:pt idx="21">
                  <c:v>0.224991123241909</c:v>
                </c:pt>
                <c:pt idx="22">
                  <c:v>0.253307573344416</c:v>
                </c:pt>
                <c:pt idx="23">
                  <c:v>0.285208603069597</c:v>
                </c:pt>
                <c:pt idx="24">
                  <c:v>0.321134274740742</c:v>
                </c:pt>
                <c:pt idx="25">
                  <c:v>0.361578031131128</c:v>
                </c:pt>
                <c:pt idx="26">
                  <c:v>0.40709302571654</c:v>
                </c:pt>
                <c:pt idx="27">
                  <c:v>0.458299190973017</c:v>
                </c:pt>
                <c:pt idx="28">
                  <c:v>0.515891128994525</c:v>
                </c:pt>
                <c:pt idx="29">
                  <c:v>0.580646918147928</c:v>
                </c:pt>
                <c:pt idx="30">
                  <c:v>0.653437939961567</c:v>
                </c:pt>
                <c:pt idx="31">
                  <c:v>0.735239842070761</c:v>
                </c:pt>
                <c:pt idx="32">
                  <c:v>0.827144765941297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FF2-4D03-84D6-0115B0F1864B}"/>
            </c:ext>
          </c:extLst>
        </c:ser>
        <c:ser>
          <c:idx val="1"/>
          <c:order val="1"/>
          <c:tx>
            <c:v>3A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[5]MC1!$D$30:$D$54</c:f>
              <c:numCache>
                <c:formatCode>General</c:formatCode>
                <c:ptCount val="25"/>
                <c:pt idx="0">
                  <c:v>0.0</c:v>
                </c:pt>
                <c:pt idx="1">
                  <c:v>7.86760038559095E-5</c:v>
                </c:pt>
                <c:pt idx="2">
                  <c:v>0.000164540956150028</c:v>
                </c:pt>
                <c:pt idx="3">
                  <c:v>0.000259308885472174</c:v>
                </c:pt>
                <c:pt idx="4">
                  <c:v>0.000364935860947598</c:v>
                </c:pt>
                <c:pt idx="5">
                  <c:v>0.000483663009524245</c:v>
                </c:pt>
                <c:pt idx="6">
                  <c:v>0.000618066138196591</c:v>
                </c:pt>
                <c:pt idx="7">
                  <c:v>0.00077111303259451</c:v>
                </c:pt>
                <c:pt idx="8">
                  <c:v>0.000946229667765175</c:v>
                </c:pt>
                <c:pt idx="9">
                  <c:v>0.00114737675678649</c:v>
                </c:pt>
                <c:pt idx="10">
                  <c:v>0.00137913828188306</c:v>
                </c:pt>
                <c:pt idx="11">
                  <c:v>0.00164682390534832</c:v>
                </c:pt>
                <c:pt idx="12">
                  <c:v>0.00195658744883805</c:v>
                </c:pt>
                <c:pt idx="13">
                  <c:v>0.00231556396526256</c:v>
                </c:pt>
                <c:pt idx="14">
                  <c:v>0.00273202831419349</c:v>
                </c:pt>
                <c:pt idx="15">
                  <c:v>0.00321557859701646</c:v>
                </c:pt>
                <c:pt idx="16">
                  <c:v>0.00377734832072041</c:v>
                </c:pt>
                <c:pt idx="17">
                  <c:v>0.00443025174921436</c:v>
                </c:pt>
                <c:pt idx="18">
                  <c:v>0.00518926757986031</c:v>
                </c:pt>
                <c:pt idx="19">
                  <c:v>0.00607176686363682</c:v>
                </c:pt>
                <c:pt idx="20">
                  <c:v>0.00709789198504397</c:v>
                </c:pt>
                <c:pt idx="21">
                  <c:v>0.00829099454975542</c:v>
                </c:pt>
                <c:pt idx="22">
                  <c:v>0.00967814121384219</c:v>
                </c:pt>
                <c:pt idx="23">
                  <c:v>0.0112906978507181</c:v>
                </c:pt>
                <c:pt idx="24">
                  <c:v>0.0131650040166282</c:v>
                </c:pt>
              </c:numCache>
            </c:numRef>
          </c:xVal>
          <c:yVal>
            <c:numRef>
              <c:f>[5]MC1!$F$30:$F$54</c:f>
              <c:numCache>
                <c:formatCode>General</c:formatCode>
                <c:ptCount val="25"/>
                <c:pt idx="0">
                  <c:v>0.0</c:v>
                </c:pt>
                <c:pt idx="1">
                  <c:v>0.0393380019279547</c:v>
                </c:pt>
                <c:pt idx="2">
                  <c:v>0.0429324761470593</c:v>
                </c:pt>
                <c:pt idx="3">
                  <c:v>0.0473839646610728</c:v>
                </c:pt>
                <c:pt idx="4">
                  <c:v>0.0528134877377121</c:v>
                </c:pt>
                <c:pt idx="5">
                  <c:v>0.0593635742883235</c:v>
                </c:pt>
                <c:pt idx="6">
                  <c:v>0.0672015643361729</c:v>
                </c:pt>
                <c:pt idx="7">
                  <c:v>0.0765234471989594</c:v>
                </c:pt>
                <c:pt idx="8">
                  <c:v>0.0875583175853322</c:v>
                </c:pt>
                <c:pt idx="9">
                  <c:v>0.10057354451066</c:v>
                </c:pt>
                <c:pt idx="10">
                  <c:v>0.115880762548282</c:v>
                </c:pt>
                <c:pt idx="11">
                  <c:v>0.133842811732629</c:v>
                </c:pt>
                <c:pt idx="12">
                  <c:v>0.154881771744867</c:v>
                </c:pt>
                <c:pt idx="13">
                  <c:v>0.179488258212253</c:v>
                </c:pt>
                <c:pt idx="14">
                  <c:v>0.208232174465464</c:v>
                </c:pt>
                <c:pt idx="15">
                  <c:v>0.241775141411487</c:v>
                </c:pt>
                <c:pt idx="16">
                  <c:v>0.280884861851974</c:v>
                </c:pt>
                <c:pt idx="17">
                  <c:v>0.326451714246976</c:v>
                </c:pt>
                <c:pt idx="18">
                  <c:v>0.379507915322976</c:v>
                </c:pt>
                <c:pt idx="19">
                  <c:v>0.441249641888252</c:v>
                </c:pt>
                <c:pt idx="20">
                  <c:v>0.513062560703575</c:v>
                </c:pt>
                <c:pt idx="21">
                  <c:v>0.596551282355727</c:v>
                </c:pt>
                <c:pt idx="22">
                  <c:v>0.693573332043382</c:v>
                </c:pt>
                <c:pt idx="23">
                  <c:v>0.806278318437956</c:v>
                </c:pt>
                <c:pt idx="24">
                  <c:v>0.937153082955045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FF2-4D03-84D6-0115B0F18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067152"/>
        <c:axId val="1231598464"/>
      </c:scatterChart>
      <c:valAx>
        <c:axId val="1322067152"/>
        <c:scaling>
          <c:orientation val="minMax"/>
          <c:max val="0.0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98464"/>
        <c:crosses val="autoZero"/>
        <c:crossBetween val="midCat"/>
      </c:valAx>
      <c:valAx>
        <c:axId val="1231598464"/>
        <c:scaling>
          <c:orientation val="minMax"/>
          <c:max val="2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6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4B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51820166798497"/>
                  <c:y val="0.2097901606168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[4]MC1!$C$30:$C$55</c:f>
              <c:numCache>
                <c:formatCode>General</c:formatCode>
                <c:ptCount val="26"/>
                <c:pt idx="0">
                  <c:v>0.0</c:v>
                </c:pt>
                <c:pt idx="1">
                  <c:v>8.96440811443447E-5</c:v>
                </c:pt>
                <c:pt idx="2">
                  <c:v>0.000186797229344088</c:v>
                </c:pt>
                <c:pt idx="3">
                  <c:v>0.000293134299637766</c:v>
                </c:pt>
                <c:pt idx="4">
                  <c:v>0.000410547158002071</c:v>
                </c:pt>
                <c:pt idx="5">
                  <c:v>0.000541180512206543</c:v>
                </c:pt>
                <c:pt idx="6">
                  <c:v>0.000687472797701015</c:v>
                </c:pt>
                <c:pt idx="7">
                  <c:v>0.000852202876583477</c:v>
                </c:pt>
                <c:pt idx="8">
                  <c:v>0.00103854341455377</c:v>
                </c:pt>
                <c:pt idx="9">
                  <c:v>0.00125012192283006</c:v>
                </c:pt>
                <c:pt idx="10">
                  <c:v>0.00149109059138417</c:v>
                </c:pt>
                <c:pt idx="11">
                  <c:v>0.00176620619891781</c:v>
                </c:pt>
                <c:pt idx="12">
                  <c:v>0.00208092156645932</c:v>
                </c:pt>
                <c:pt idx="13">
                  <c:v>0.00244149022838088</c:v>
                </c:pt>
                <c:pt idx="14">
                  <c:v>0.00285508623050689</c:v>
                </c:pt>
                <c:pt idx="15">
                  <c:v>0.00332994123376659</c:v>
                </c:pt>
                <c:pt idx="16">
                  <c:v>0.00387550140802924</c:v>
                </c:pt>
                <c:pt idx="17">
                  <c:v>0.00450260694944928</c:v>
                </c:pt>
                <c:pt idx="18">
                  <c:v>0.00522369745162298</c:v>
                </c:pt>
                <c:pt idx="19">
                  <c:v>0.00605304681267587</c:v>
                </c:pt>
                <c:pt idx="20">
                  <c:v>0.0070070318744946</c:v>
                </c:pt>
                <c:pt idx="21">
                  <c:v>0.00810443957511544</c:v>
                </c:pt>
                <c:pt idx="22">
                  <c:v>0.00936681806032833</c:v>
                </c:pt>
                <c:pt idx="23">
                  <c:v>0.0108188779566678</c:v>
                </c:pt>
                <c:pt idx="24">
                  <c:v>0.0124889508673854</c:v>
                </c:pt>
                <c:pt idx="25">
                  <c:v>0.0144095131296026</c:v>
                </c:pt>
              </c:numCache>
            </c:numRef>
          </c:xVal>
          <c:yVal>
            <c:numRef>
              <c:f>[4]MC1!$E$30:$E$55</c:f>
              <c:numCache>
                <c:formatCode>General</c:formatCode>
                <c:ptCount val="26"/>
                <c:pt idx="0">
                  <c:v>0.0</c:v>
                </c:pt>
                <c:pt idx="1">
                  <c:v>0.0448220405721723</c:v>
                </c:pt>
                <c:pt idx="2">
                  <c:v>0.0485765740998714</c:v>
                </c:pt>
                <c:pt idx="3">
                  <c:v>0.053168535146839</c:v>
                </c:pt>
                <c:pt idx="4">
                  <c:v>0.0587064291821525</c:v>
                </c:pt>
                <c:pt idx="5">
                  <c:v>0.065316677102236</c:v>
                </c:pt>
                <c:pt idx="6">
                  <c:v>0.0731461427472357</c:v>
                </c:pt>
                <c:pt idx="7">
                  <c:v>0.0823650394412311</c:v>
                </c:pt>
                <c:pt idx="8">
                  <c:v>0.0931702689851449</c:v>
                </c:pt>
                <c:pt idx="9">
                  <c:v>0.105789254138147</c:v>
                </c:pt>
                <c:pt idx="10">
                  <c:v>0.120484334277056</c:v>
                </c:pt>
                <c:pt idx="11">
                  <c:v>0.137557803766816</c:v>
                </c:pt>
                <c:pt idx="12">
                  <c:v>0.157357683770759</c:v>
                </c:pt>
                <c:pt idx="13">
                  <c:v>0.180284330960776</c:v>
                </c:pt>
                <c:pt idx="14">
                  <c:v>0.206798001063006</c:v>
                </c:pt>
                <c:pt idx="15">
                  <c:v>0.237427501629852</c:v>
                </c:pt>
                <c:pt idx="16">
                  <c:v>0.272780087131325</c:v>
                </c:pt>
                <c:pt idx="17">
                  <c:v>0.313552770710015</c:v>
                </c:pt>
                <c:pt idx="18">
                  <c:v>0.360545251086853</c:v>
                </c:pt>
                <c:pt idx="19">
                  <c:v>0.414674680526443</c:v>
                </c:pt>
                <c:pt idx="20">
                  <c:v>0.476992530909366</c:v>
                </c:pt>
                <c:pt idx="21">
                  <c:v>0.548703850310418</c:v>
                </c:pt>
                <c:pt idx="22">
                  <c:v>0.631189242606445</c:v>
                </c:pt>
                <c:pt idx="23">
                  <c:v>0.726029948169723</c:v>
                </c:pt>
                <c:pt idx="24">
                  <c:v>0.835036455358817</c:v>
                </c:pt>
                <c:pt idx="25">
                  <c:v>0.960281131108608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525-4E8A-A755-64DE6E33ECA6}"/>
            </c:ext>
          </c:extLst>
        </c:ser>
        <c:ser>
          <c:idx val="1"/>
          <c:order val="1"/>
          <c:tx>
            <c:v>4A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[4]MC1!$D$30:$D$45</c:f>
              <c:numCache>
                <c:formatCode>General</c:formatCode>
                <c:ptCount val="16"/>
                <c:pt idx="0">
                  <c:v>0.0</c:v>
                </c:pt>
                <c:pt idx="1">
                  <c:v>7.28756157917797E-5</c:v>
                </c:pt>
                <c:pt idx="2">
                  <c:v>0.000160723264197186</c:v>
                </c:pt>
                <c:pt idx="3">
                  <c:v>0.000270165922684545</c:v>
                </c:pt>
                <c:pt idx="4">
                  <c:v>0.00040986994399077</c:v>
                </c:pt>
                <c:pt idx="5">
                  <c:v>0.000591266237658337</c:v>
                </c:pt>
                <c:pt idx="6">
                  <c:v>0.000829508156538991</c:v>
                </c:pt>
                <c:pt idx="7">
                  <c:v>0.00114474525942214</c:v>
                </c:pt>
                <c:pt idx="8">
                  <c:v>0.00156381802728264</c:v>
                </c:pt>
                <c:pt idx="9">
                  <c:v>0.00212251296562914</c:v>
                </c:pt>
                <c:pt idx="10">
                  <c:v>0.00286856305137323</c:v>
                </c:pt>
                <c:pt idx="11">
                  <c:v>0.00386563877202457</c:v>
                </c:pt>
                <c:pt idx="12">
                  <c:v>0.00519865479591743</c:v>
                </c:pt>
                <c:pt idx="13">
                  <c:v>0.00698082284998258</c:v>
                </c:pt>
                <c:pt idx="14">
                  <c:v>0.00936302089394091</c:v>
                </c:pt>
                <c:pt idx="15">
                  <c:v>0.0125462329998051</c:v>
                </c:pt>
              </c:numCache>
            </c:numRef>
          </c:xVal>
          <c:yVal>
            <c:numRef>
              <c:f>[4]MC1!$F$30:$F$45</c:f>
              <c:numCache>
                <c:formatCode>General</c:formatCode>
                <c:ptCount val="16"/>
                <c:pt idx="0">
                  <c:v>0.0</c:v>
                </c:pt>
                <c:pt idx="1">
                  <c:v>0.0364378078958898</c:v>
                </c:pt>
                <c:pt idx="2">
                  <c:v>0.043923824202703</c:v>
                </c:pt>
                <c:pt idx="3">
                  <c:v>0.0547213292436797</c:v>
                </c:pt>
                <c:pt idx="4">
                  <c:v>0.0698520106531124</c:v>
                </c:pt>
                <c:pt idx="5">
                  <c:v>0.0906981468337833</c:v>
                </c:pt>
                <c:pt idx="6">
                  <c:v>0.119120959440327</c:v>
                </c:pt>
                <c:pt idx="7">
                  <c:v>0.157618551441576</c:v>
                </c:pt>
                <c:pt idx="8">
                  <c:v>0.20953638393025</c:v>
                </c:pt>
                <c:pt idx="9">
                  <c:v>0.279347469173248</c:v>
                </c:pt>
                <c:pt idx="10">
                  <c:v>0.373025042872047</c:v>
                </c:pt>
                <c:pt idx="11">
                  <c:v>0.498537860325668</c:v>
                </c:pt>
                <c:pt idx="12">
                  <c:v>0.666508011946427</c:v>
                </c:pt>
                <c:pt idx="13">
                  <c:v>0.891084027032577</c:v>
                </c:pt>
                <c:pt idx="14">
                  <c:v>1.191099021979161</c:v>
                </c:pt>
                <c:pt idx="15">
                  <c:v>1.591606052932075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525-4E8A-A755-64DE6E33E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326800"/>
        <c:axId val="1323330560"/>
      </c:scatterChart>
      <c:valAx>
        <c:axId val="1323326800"/>
        <c:scaling>
          <c:orientation val="minMax"/>
          <c:max val="0.0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330560"/>
        <c:crosses val="autoZero"/>
        <c:crossBetween val="midCat"/>
      </c:valAx>
      <c:valAx>
        <c:axId val="1323330560"/>
        <c:scaling>
          <c:orientation val="minMax"/>
          <c:max val="2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32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5B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69505098948681"/>
                  <c:y val="0.114800421767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[3]MC1!$C$30:$C$65</c:f>
              <c:numCache>
                <c:formatCode>General</c:formatCode>
                <c:ptCount val="36"/>
                <c:pt idx="0">
                  <c:v>0.0</c:v>
                </c:pt>
                <c:pt idx="1">
                  <c:v>5.05487051371244E-5</c:v>
                </c:pt>
                <c:pt idx="2">
                  <c:v>0.000104120623172357</c:v>
                </c:pt>
                <c:pt idx="3">
                  <c:v>0.000161237279704525</c:v>
                </c:pt>
                <c:pt idx="4">
                  <c:v>0.000222468389857699</c:v>
                </c:pt>
                <c:pt idx="5">
                  <c:v>0.00028843785233343</c:v>
                </c:pt>
                <c:pt idx="6">
                  <c:v>0.000359830348078061</c:v>
                </c:pt>
                <c:pt idx="7">
                  <c:v>0.000437398610452845</c:v>
                </c:pt>
                <c:pt idx="8">
                  <c:v>0.000521971440519791</c:v>
                </c:pt>
                <c:pt idx="9">
                  <c:v>0.00061446254847623</c:v>
                </c:pt>
                <c:pt idx="10">
                  <c:v>0.000715880310453536</c:v>
                </c:pt>
                <c:pt idx="11">
                  <c:v>0.000827338538914815</c:v>
                </c:pt>
                <c:pt idx="12">
                  <c:v>0.000950068374824094</c:v>
                </c:pt>
                <c:pt idx="13">
                  <c:v>0.0010854314207053</c:v>
                </c:pt>
                <c:pt idx="14">
                  <c:v>0.00123493424576115</c:v>
                </c:pt>
                <c:pt idx="15">
                  <c:v>0.00140024440748757</c:v>
                </c:pt>
                <c:pt idx="16">
                  <c:v>0.00158320814881691</c:v>
                </c:pt>
                <c:pt idx="17">
                  <c:v>0.00178586994588107</c:v>
                </c:pt>
                <c:pt idx="18">
                  <c:v>0.00201049409914738</c:v>
                </c:pt>
                <c:pt idx="19">
                  <c:v>0.00225958858009858</c:v>
                </c:pt>
                <c:pt idx="20">
                  <c:v>0.00253593136697513</c:v>
                </c:pt>
                <c:pt idx="21">
                  <c:v>0.00284259952655891</c:v>
                </c:pt>
                <c:pt idx="22">
                  <c:v>0.00318300132475533</c:v>
                </c:pt>
                <c:pt idx="23">
                  <c:v>0.00356091167704947</c:v>
                </c:pt>
                <c:pt idx="24">
                  <c:v>0.00398051128101525</c:v>
                </c:pt>
                <c:pt idx="25">
                  <c:v>0.00444642980721039</c:v>
                </c:pt>
                <c:pt idx="26">
                  <c:v>0.00496379356228765</c:v>
                </c:pt>
                <c:pt idx="27">
                  <c:v>0.00553827807931266</c:v>
                </c:pt>
                <c:pt idx="28">
                  <c:v>0.00617616613544952</c:v>
                </c:pt>
                <c:pt idx="29">
                  <c:v>0.00688441174674032</c:v>
                </c:pt>
                <c:pt idx="30">
                  <c:v>0.00767071074407854</c:v>
                </c:pt>
                <c:pt idx="31">
                  <c:v>0.00854357859411751</c:v>
                </c:pt>
                <c:pt idx="32">
                  <c:v>0.00951243619425949</c:v>
                </c:pt>
                <c:pt idx="33">
                  <c:v>0.0105877044425843</c:v>
                </c:pt>
                <c:pt idx="34">
                  <c:v>0.0117809084621922</c:v>
                </c:pt>
                <c:pt idx="35">
                  <c:v>0.0131047924456034</c:v>
                </c:pt>
              </c:numCache>
            </c:numRef>
          </c:xVal>
          <c:yVal>
            <c:numRef>
              <c:f>[3]MC1!$E$30:$E$65</c:f>
              <c:numCache>
                <c:formatCode>General</c:formatCode>
                <c:ptCount val="36"/>
                <c:pt idx="0">
                  <c:v>0.0</c:v>
                </c:pt>
                <c:pt idx="1">
                  <c:v>0.0252743525685622</c:v>
                </c:pt>
                <c:pt idx="2">
                  <c:v>0.0267859590176165</c:v>
                </c:pt>
                <c:pt idx="3">
                  <c:v>0.0285583282660836</c:v>
                </c:pt>
                <c:pt idx="4">
                  <c:v>0.0306155550765873</c:v>
                </c:pt>
                <c:pt idx="5">
                  <c:v>0.0329847312378652</c:v>
                </c:pt>
                <c:pt idx="6">
                  <c:v>0.0356962478723158</c:v>
                </c:pt>
                <c:pt idx="7">
                  <c:v>0.0387841311873919</c:v>
                </c:pt>
                <c:pt idx="8">
                  <c:v>0.0422864150334731</c:v>
                </c:pt>
                <c:pt idx="9">
                  <c:v>0.046245553978219</c:v>
                </c:pt>
                <c:pt idx="10">
                  <c:v>0.0507088809886531</c:v>
                </c:pt>
                <c:pt idx="11">
                  <c:v>0.0557291142306395</c:v>
                </c:pt>
                <c:pt idx="12">
                  <c:v>0.0613649179546397</c:v>
                </c:pt>
                <c:pt idx="13">
                  <c:v>0.0676815229406044</c:v>
                </c:pt>
                <c:pt idx="14">
                  <c:v>0.0747514125279213</c:v>
                </c:pt>
                <c:pt idx="15">
                  <c:v>0.0826550808632137</c:v>
                </c:pt>
                <c:pt idx="16">
                  <c:v>0.0914818706646678</c:v>
                </c:pt>
                <c:pt idx="17">
                  <c:v>0.101330898532078</c:v>
                </c:pt>
                <c:pt idx="18">
                  <c:v>0.112312076633157</c:v>
                </c:pt>
                <c:pt idx="19">
                  <c:v>0.124547240475598</c:v>
                </c:pt>
                <c:pt idx="20">
                  <c:v>0.138171393438275</c:v>
                </c:pt>
                <c:pt idx="21">
                  <c:v>0.153334079791894</c:v>
                </c:pt>
                <c:pt idx="22">
                  <c:v>0.170200899098207</c:v>
                </c:pt>
                <c:pt idx="23">
                  <c:v>0.18895517614707</c:v>
                </c:pt>
                <c:pt idx="24">
                  <c:v>0.209799801982891</c:v>
                </c:pt>
                <c:pt idx="25">
                  <c:v>0.232959263097567</c:v>
                </c:pt>
                <c:pt idx="26">
                  <c:v>0.258681877538633</c:v>
                </c:pt>
                <c:pt idx="27">
                  <c:v>0.287242258512501</c:v>
                </c:pt>
                <c:pt idx="28">
                  <c:v>0.318944028068433</c:v>
                </c:pt>
                <c:pt idx="29">
                  <c:v>0.3541228056454</c:v>
                </c:pt>
                <c:pt idx="30">
                  <c:v>0.39314949866911</c:v>
                </c:pt>
                <c:pt idx="31">
                  <c:v>0.436433925019481</c:v>
                </c:pt>
                <c:pt idx="32">
                  <c:v>0.484428800070991</c:v>
                </c:pt>
                <c:pt idx="33">
                  <c:v>0.537634124162415</c:v>
                </c:pt>
                <c:pt idx="34">
                  <c:v>0.59660200980395</c:v>
                </c:pt>
                <c:pt idx="35">
                  <c:v>0.661941991705588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E5F-42A0-B479-0F7D461E7240}"/>
            </c:ext>
          </c:extLst>
        </c:ser>
        <c:ser>
          <c:idx val="1"/>
          <c:order val="1"/>
          <c:tx>
            <c:v>5A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[3]MC1!$D$30:$D$54</c:f>
              <c:numCache>
                <c:formatCode>General</c:formatCode>
                <c:ptCount val="25"/>
                <c:pt idx="0">
                  <c:v>0.0</c:v>
                </c:pt>
                <c:pt idx="1">
                  <c:v>5.52428704840944E-5</c:v>
                </c:pt>
                <c:pt idx="2">
                  <c:v>0.000116291500867002</c:v>
                </c:pt>
                <c:pt idx="3">
                  <c:v>0.000184687001989121</c:v>
                </c:pt>
                <c:pt idx="4">
                  <c:v>0.000262220185111423</c:v>
                </c:pt>
                <c:pt idx="5">
                  <c:v>0.000350981531965664</c:v>
                </c:pt>
                <c:pt idx="6">
                  <c:v>0.00045341994413595</c:v>
                </c:pt>
                <c:pt idx="7">
                  <c:v>0.000572411887488593</c:v>
                </c:pt>
                <c:pt idx="8">
                  <c:v>0.000711342831048225</c:v>
                </c:pt>
                <c:pt idx="9">
                  <c:v>0.000874203213407514</c:v>
                </c:pt>
                <c:pt idx="10">
                  <c:v>0.00106570156205277</c:v>
                </c:pt>
                <c:pt idx="11">
                  <c:v>0.00129139785195164</c:v>
                </c:pt>
                <c:pt idx="12">
                  <c:v>0.00155786073115596</c:v>
                </c:pt>
                <c:pt idx="13">
                  <c:v>0.00187285287679441</c:v>
                </c:pt>
                <c:pt idx="14">
                  <c:v>0.00224554949076629</c:v>
                </c:pt>
                <c:pt idx="15">
                  <c:v>0.00268679581951932</c:v>
                </c:pt>
                <c:pt idx="16">
                  <c:v>0.00320941060848767</c:v>
                </c:pt>
                <c:pt idx="17">
                  <c:v>0.00382854360476454</c:v>
                </c:pt>
                <c:pt idx="18">
                  <c:v>0.00456209663137365</c:v>
                </c:pt>
                <c:pt idx="19">
                  <c:v>0.00543121940809023</c:v>
                </c:pt>
                <c:pt idx="20">
                  <c:v>0.00646089322799104</c:v>
                </c:pt>
                <c:pt idx="21">
                  <c:v>0.00768061786343521</c:v>
                </c:pt>
                <c:pt idx="22">
                  <c:v>0.00912521972556235</c:v>
                </c:pt>
                <c:pt idx="23">
                  <c:v>0.0108358024024286</c:v>
                </c:pt>
                <c:pt idx="24">
                  <c:v>0.012860864328093</c:v>
                </c:pt>
              </c:numCache>
            </c:numRef>
          </c:xVal>
          <c:yVal>
            <c:numRef>
              <c:f>[3]MC1!$F$30:$F$54</c:f>
              <c:numCache>
                <c:formatCode>General</c:formatCode>
                <c:ptCount val="25"/>
                <c:pt idx="0">
                  <c:v>0.0</c:v>
                </c:pt>
                <c:pt idx="1">
                  <c:v>0.0276214352420472</c:v>
                </c:pt>
                <c:pt idx="2">
                  <c:v>0.0305243151914536</c:v>
                </c:pt>
                <c:pt idx="3">
                  <c:v>0.0341977505610598</c:v>
                </c:pt>
                <c:pt idx="4">
                  <c:v>0.038766591561151</c:v>
                </c:pt>
                <c:pt idx="5">
                  <c:v>0.0443806734271203</c:v>
                </c:pt>
                <c:pt idx="6">
                  <c:v>0.0512192060851431</c:v>
                </c:pt>
                <c:pt idx="7">
                  <c:v>0.0594959716763213</c:v>
                </c:pt>
                <c:pt idx="8">
                  <c:v>0.0694654717798161</c:v>
                </c:pt>
                <c:pt idx="9">
                  <c:v>0.0814301911796443</c:v>
                </c:pt>
                <c:pt idx="10">
                  <c:v>0.0957491743226293</c:v>
                </c:pt>
                <c:pt idx="11">
                  <c:v>0.112848144949434</c:v>
                </c:pt>
                <c:pt idx="12">
                  <c:v>0.133231439602161</c:v>
                </c:pt>
                <c:pt idx="13">
                  <c:v>0.157496072819223</c:v>
                </c:pt>
                <c:pt idx="14">
                  <c:v>0.18634830698594</c:v>
                </c:pt>
                <c:pt idx="15">
                  <c:v>0.220623164376515</c:v>
                </c:pt>
                <c:pt idx="16">
                  <c:v>0.261307394484174</c:v>
                </c:pt>
                <c:pt idx="17">
                  <c:v>0.309566498138435</c:v>
                </c:pt>
                <c:pt idx="18">
                  <c:v>0.366776513304555</c:v>
                </c:pt>
                <c:pt idx="19">
                  <c:v>0.434561388358291</c:v>
                </c:pt>
                <c:pt idx="20">
                  <c:v>0.514836909950404</c:v>
                </c:pt>
                <c:pt idx="21">
                  <c:v>0.609862317722084</c:v>
                </c:pt>
                <c:pt idx="22">
                  <c:v>0.722300931063569</c:v>
                </c:pt>
                <c:pt idx="23">
                  <c:v>0.855291338433118</c:v>
                </c:pt>
                <c:pt idx="24">
                  <c:v>1.012530962832216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5F-42A0-B479-0F7D461E7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624864"/>
        <c:axId val="1227056512"/>
      </c:scatterChart>
      <c:valAx>
        <c:axId val="1231624864"/>
        <c:scaling>
          <c:orientation val="minMax"/>
          <c:max val="0.0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56512"/>
        <c:crosses val="autoZero"/>
        <c:crossBetween val="midCat"/>
      </c:valAx>
      <c:valAx>
        <c:axId val="1227056512"/>
        <c:scaling>
          <c:orientation val="minMax"/>
          <c:max val="2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624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6B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61465767610936"/>
                  <c:y val="0.1220076625496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[1]MC1!$C$30:$C$66</c:f>
              <c:numCache>
                <c:formatCode>General</c:formatCode>
                <c:ptCount val="37"/>
                <c:pt idx="0">
                  <c:v>0.0</c:v>
                </c:pt>
                <c:pt idx="1">
                  <c:v>5.90331440645242E-5</c:v>
                </c:pt>
                <c:pt idx="2">
                  <c:v>0.000121252329607206</c:v>
                </c:pt>
                <c:pt idx="3">
                  <c:v>0.000187166233762244</c:v>
                </c:pt>
                <c:pt idx="4">
                  <c:v>0.000257325862013945</c:v>
                </c:pt>
                <c:pt idx="5">
                  <c:v>0.00033232938332542</c:v>
                </c:pt>
                <c:pt idx="6">
                  <c:v>0.000412827404317155</c:v>
                </c:pt>
                <c:pt idx="7">
                  <c:v>0.000499528726793999</c:v>
                </c:pt>
                <c:pt idx="8">
                  <c:v>0.000593206636922246</c:v>
                </c:pt>
                <c:pt idx="9">
                  <c:v>0.000694705778736657</c:v>
                </c:pt>
                <c:pt idx="10">
                  <c:v>0.00080494966944312</c:v>
                </c:pt>
                <c:pt idx="11">
                  <c:v>0.000924948919211872</c:v>
                </c:pt>
                <c:pt idx="12">
                  <c:v>0.00105581022386754</c:v>
                </c:pt>
                <c:pt idx="13">
                  <c:v>0.00119874620511796</c:v>
                </c:pt>
                <c:pt idx="14">
                  <c:v>0.00135508617976958</c:v>
                </c:pt>
                <c:pt idx="15">
                  <c:v>0.00152628794680278</c:v>
                </c:pt>
                <c:pt idx="16">
                  <c:v>0.00171395068928083</c:v>
                </c:pt>
                <c:pt idx="17">
                  <c:v>0.00191982909689834</c:v>
                </c:pt>
                <c:pt idx="18">
                  <c:v>0.00214584882460505</c:v>
                </c:pt>
                <c:pt idx="19">
                  <c:v>0.00239412341323626</c:v>
                </c:pt>
                <c:pt idx="20">
                  <c:v>0.0026669728095182</c:v>
                </c:pt>
                <c:pt idx="21">
                  <c:v>0.00296694363527663</c:v>
                </c:pt>
                <c:pt idx="22">
                  <c:v>0.00329683136924899</c:v>
                </c:pt>
                <c:pt idx="23">
                  <c:v>0.00365970461967957</c:v>
                </c:pt>
                <c:pt idx="24">
                  <c:v>0.00405893168196977</c:v>
                </c:pt>
                <c:pt idx="25">
                  <c:v>0.00449820959317203</c:v>
                </c:pt>
                <c:pt idx="26">
                  <c:v>0.00498159591418185</c:v>
                </c:pt>
                <c:pt idx="27">
                  <c:v>0.00551354349122851</c:v>
                </c:pt>
                <c:pt idx="28">
                  <c:v>0.00609893847083664</c:v>
                </c:pt>
                <c:pt idx="29">
                  <c:v>0.0067431418669842</c:v>
                </c:pt>
                <c:pt idx="30">
                  <c:v>0.00745203500588611</c:v>
                </c:pt>
                <c:pt idx="31">
                  <c:v>0.00823206920287161</c:v>
                </c:pt>
                <c:pt idx="32">
                  <c:v>0.00909032005739407</c:v>
                </c:pt>
                <c:pt idx="33">
                  <c:v>0.0100345467865326</c:v>
                </c:pt>
                <c:pt idx="34">
                  <c:v>0.0110732570546449</c:v>
                </c:pt>
                <c:pt idx="35">
                  <c:v>0.0122157777973669</c:v>
                </c:pt>
                <c:pt idx="36">
                  <c:v>0.0134723325821952</c:v>
                </c:pt>
              </c:numCache>
            </c:numRef>
          </c:xVal>
          <c:yVal>
            <c:numRef>
              <c:f>[1]MC1!$E$30:$E$66</c:f>
              <c:numCache>
                <c:formatCode>General</c:formatCode>
                <c:ptCount val="37"/>
                <c:pt idx="0">
                  <c:v>0.0</c:v>
                </c:pt>
                <c:pt idx="1">
                  <c:v>0.0295165720322621</c:v>
                </c:pt>
                <c:pt idx="2">
                  <c:v>0.0311095927713408</c:v>
                </c:pt>
                <c:pt idx="3">
                  <c:v>0.0329569520775189</c:v>
                </c:pt>
                <c:pt idx="4">
                  <c:v>0.0350798141258509</c:v>
                </c:pt>
                <c:pt idx="5">
                  <c:v>0.0375017606557372</c:v>
                </c:pt>
                <c:pt idx="6">
                  <c:v>0.0402490104958675</c:v>
                </c:pt>
                <c:pt idx="7">
                  <c:v>0.0433506612384221</c:v>
                </c:pt>
                <c:pt idx="8">
                  <c:v>0.0468389550641233</c:v>
                </c:pt>
                <c:pt idx="9">
                  <c:v>0.0507495709072052</c:v>
                </c:pt>
                <c:pt idx="10">
                  <c:v>0.0551219453532318</c:v>
                </c:pt>
                <c:pt idx="11">
                  <c:v>0.0599996248843755</c:v>
                </c:pt>
                <c:pt idx="12">
                  <c:v>0.0654306523278329</c:v>
                </c:pt>
                <c:pt idx="13">
                  <c:v>0.0714679906252137</c:v>
                </c:pt>
                <c:pt idx="14">
                  <c:v>0.0781699873258053</c:v>
                </c:pt>
                <c:pt idx="15">
                  <c:v>0.0856008835166007</c:v>
                </c:pt>
                <c:pt idx="16">
                  <c:v>0.0938313712390274</c:v>
                </c:pt>
                <c:pt idx="17">
                  <c:v>0.102939203808756</c:v>
                </c:pt>
                <c:pt idx="18">
                  <c:v>0.113009863853354</c:v>
                </c:pt>
                <c:pt idx="19">
                  <c:v>0.124137294315605</c:v>
                </c:pt>
                <c:pt idx="20">
                  <c:v>0.136424698140966</c:v>
                </c:pt>
                <c:pt idx="21">
                  <c:v>0.149985412879218</c:v>
                </c:pt>
                <c:pt idx="22">
                  <c:v>0.164943866986176</c:v>
                </c:pt>
                <c:pt idx="23">
                  <c:v>0.181436625215292</c:v>
                </c:pt>
                <c:pt idx="24">
                  <c:v>0.1996135311451</c:v>
                </c:pt>
                <c:pt idx="25">
                  <c:v>0.219638955601129</c:v>
                </c:pt>
                <c:pt idx="26">
                  <c:v>0.241693160504912</c:v>
                </c:pt>
                <c:pt idx="27">
                  <c:v>0.265973788523329</c:v>
                </c:pt>
                <c:pt idx="28">
                  <c:v>0.292697489804067</c:v>
                </c:pt>
                <c:pt idx="29">
                  <c:v>0.322101698073775</c:v>
                </c:pt>
                <c:pt idx="30">
                  <c:v>0.354446569450959</c:v>
                </c:pt>
                <c:pt idx="31">
                  <c:v>0.390017098492747</c:v>
                </c:pt>
                <c:pt idx="32">
                  <c:v>0.429125427261229</c:v>
                </c:pt>
                <c:pt idx="33">
                  <c:v>0.47211336456925</c:v>
                </c:pt>
                <c:pt idx="34">
                  <c:v>0.519355134056155</c:v>
                </c:pt>
                <c:pt idx="35">
                  <c:v>0.571260371361</c:v>
                </c:pt>
                <c:pt idx="36">
                  <c:v>0.628277392414154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7D4-449C-B79F-B8F9586D8E83}"/>
            </c:ext>
          </c:extLst>
        </c:ser>
        <c:ser>
          <c:idx val="1"/>
          <c:order val="1"/>
          <c:tx>
            <c:v>6A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[1]MC1!$D$30:$D$56</c:f>
              <c:numCache>
                <c:formatCode>General</c:formatCode>
                <c:ptCount val="27"/>
                <c:pt idx="0">
                  <c:v>0.0</c:v>
                </c:pt>
                <c:pt idx="1">
                  <c:v>5.31784114229735E-5</c:v>
                </c:pt>
                <c:pt idx="2">
                  <c:v>0.000111479354082066</c:v>
                </c:pt>
                <c:pt idx="3">
                  <c:v>0.000176174660610707</c:v>
                </c:pt>
                <c:pt idx="4">
                  <c:v>0.000248725350345153</c:v>
                </c:pt>
                <c:pt idx="5">
                  <c:v>0.000330816792150691</c:v>
                </c:pt>
                <c:pt idx="6">
                  <c:v>0.000424399548974937</c:v>
                </c:pt>
                <c:pt idx="7">
                  <c:v>0.000531736870787043</c:v>
                </c:pt>
                <c:pt idx="8">
                  <c:v>0.000655459958659424</c:v>
                </c:pt>
                <c:pt idx="9">
                  <c:v>0.000798632304203976</c:v>
                </c:pt>
                <c:pt idx="10">
                  <c:v>0.000964824619393051</c:v>
                </c:pt>
                <c:pt idx="11">
                  <c:v>0.00115820211660939</c:v>
                </c:pt>
                <c:pt idx="12">
                  <c:v>0.0013836261829358</c:v>
                </c:pt>
                <c:pt idx="13">
                  <c:v>0.00164677282240611</c:v>
                </c:pt>
                <c:pt idx="14">
                  <c:v>0.00195427062234882</c:v>
                </c:pt>
                <c:pt idx="15">
                  <c:v>0.00231386144332685</c:v>
                </c:pt>
                <c:pt idx="16">
                  <c:v>0.00273458754605522</c:v>
                </c:pt>
                <c:pt idx="17">
                  <c:v>0.00322700946407761</c:v>
                </c:pt>
                <c:pt idx="18">
                  <c:v>0.00380345962061639</c:v>
                </c:pt>
                <c:pt idx="19">
                  <c:v>0.00447833748654561</c:v>
                </c:pt>
                <c:pt idx="20">
                  <c:v>0.00526845300078713</c:v>
                </c:pt>
                <c:pt idx="21">
                  <c:v>0.00619342604410306</c:v>
                </c:pt>
                <c:pt idx="22">
                  <c:v>0.00727615099473411</c:v>
                </c:pt>
                <c:pt idx="23">
                  <c:v>0.00854333682552288</c:v>
                </c:pt>
                <c:pt idx="24">
                  <c:v>0.0100261348569129</c:v>
                </c:pt>
                <c:pt idx="25">
                  <c:v>0.0117608681929045</c:v>
                </c:pt>
                <c:pt idx="26">
                  <c:v>0.0137898790772622</c:v>
                </c:pt>
              </c:numCache>
            </c:numRef>
          </c:xVal>
          <c:yVal>
            <c:numRef>
              <c:f>[1]MC1!$F$30:$F$56</c:f>
              <c:numCache>
                <c:formatCode>General</c:formatCode>
                <c:ptCount val="27"/>
                <c:pt idx="0">
                  <c:v>0.0</c:v>
                </c:pt>
                <c:pt idx="1">
                  <c:v>0.0265892057114867</c:v>
                </c:pt>
                <c:pt idx="2">
                  <c:v>0.029150471329546</c:v>
                </c:pt>
                <c:pt idx="3">
                  <c:v>0.0323476532643209</c:v>
                </c:pt>
                <c:pt idx="4">
                  <c:v>0.0362753448672226</c:v>
                </c:pt>
                <c:pt idx="5">
                  <c:v>0.041045720902769</c:v>
                </c:pt>
                <c:pt idx="6">
                  <c:v>0.0467913784121229</c:v>
                </c:pt>
                <c:pt idx="7">
                  <c:v>0.0536686609060533</c:v>
                </c:pt>
                <c:pt idx="8">
                  <c:v>0.0618615439361904</c:v>
                </c:pt>
                <c:pt idx="9">
                  <c:v>0.071586172772276</c:v>
                </c:pt>
                <c:pt idx="10">
                  <c:v>0.0830961575945374</c:v>
                </c:pt>
                <c:pt idx="11">
                  <c:v>0.0966887486081709</c:v>
                </c:pt>
                <c:pt idx="12">
                  <c:v>0.112712033163202</c:v>
                </c:pt>
                <c:pt idx="13">
                  <c:v>0.131573319735157</c:v>
                </c:pt>
                <c:pt idx="14">
                  <c:v>0.153748899971353</c:v>
                </c:pt>
                <c:pt idx="15">
                  <c:v>0.179795410489013</c:v>
                </c:pt>
                <c:pt idx="16">
                  <c:v>0.210363051364188</c:v>
                </c:pt>
                <c:pt idx="17">
                  <c:v>0.246210959011194</c:v>
                </c:pt>
                <c:pt idx="18">
                  <c:v>0.288225078269392</c:v>
                </c:pt>
                <c:pt idx="19">
                  <c:v>0.33743893296461</c:v>
                </c:pt>
                <c:pt idx="20">
                  <c:v>0.395057757120755</c:v>
                </c:pt>
                <c:pt idx="21">
                  <c:v>0.462486521657969</c:v>
                </c:pt>
                <c:pt idx="22">
                  <c:v>0.541362475315521</c:v>
                </c:pt>
                <c:pt idx="23">
                  <c:v>0.633592915394387</c:v>
                </c:pt>
                <c:pt idx="24">
                  <c:v>0.741399015695025</c:v>
                </c:pt>
                <c:pt idx="25">
                  <c:v>0.867366667995784</c:v>
                </c:pt>
                <c:pt idx="26">
                  <c:v>1.014505442178847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7D4-449C-B79F-B8F9586D8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192160"/>
        <c:axId val="1342195552"/>
      </c:scatterChart>
      <c:valAx>
        <c:axId val="134219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95552"/>
        <c:crosses val="autoZero"/>
        <c:crossBetween val="midCat"/>
      </c:valAx>
      <c:valAx>
        <c:axId val="1342195552"/>
        <c:scaling>
          <c:orientation val="minMax"/>
          <c:max val="2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Tangent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9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7B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53854670795898"/>
                  <c:y val="0.135169127560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[2]MC1!$C$30:$C$64</c:f>
              <c:numCache>
                <c:formatCode>General</c:formatCode>
                <c:ptCount val="35"/>
                <c:pt idx="0">
                  <c:v>0.0</c:v>
                </c:pt>
                <c:pt idx="1">
                  <c:v>8.17093653924297E-5</c:v>
                </c:pt>
                <c:pt idx="2">
                  <c:v>0.000167650155891327</c:v>
                </c:pt>
                <c:pt idx="3">
                  <c:v>0.000258477365362393</c:v>
                </c:pt>
                <c:pt idx="4">
                  <c:v>0.000354898229901211</c:v>
                </c:pt>
                <c:pt idx="5">
                  <c:v>0.000457677995769516</c:v>
                </c:pt>
                <c:pt idx="6">
                  <c:v>0.000567646189176154</c:v>
                </c:pt>
                <c:pt idx="7">
                  <c:v>0.000685703436704773</c:v>
                </c:pt>
                <c:pt idx="8">
                  <c:v>0.000812828889412523</c:v>
                </c:pt>
                <c:pt idx="9">
                  <c:v>0.000950088308226492</c:v>
                </c:pt>
                <c:pt idx="10">
                  <c:v>0.00109864287327913</c:v>
                </c:pt>
                <c:pt idx="11">
                  <c:v>0.00125975878528474</c:v>
                </c:pt>
                <c:pt idx="12">
                  <c:v>0.00143481773300397</c:v>
                </c:pt>
                <c:pt idx="13">
                  <c:v>0.00162532830731195</c:v>
                </c:pt>
                <c:pt idx="14">
                  <c:v>0.00183293844942307</c:v>
                </c:pt>
                <c:pt idx="15">
                  <c:v>0.00205944902847794</c:v>
                </c:pt>
                <c:pt idx="16">
                  <c:v>0.00230682865201788</c:v>
                </c:pt>
                <c:pt idx="17">
                  <c:v>0.00257722982191491</c:v>
                </c:pt>
                <c:pt idx="18">
                  <c:v>0.0028730065581508</c:v>
                </c:pt>
                <c:pt idx="19">
                  <c:v>0.00319673362351275</c:v>
                </c:pt>
                <c:pt idx="20">
                  <c:v>0.00355122749386607</c:v>
                </c:pt>
                <c:pt idx="21">
                  <c:v>0.00393956923125254</c:v>
                </c:pt>
                <c:pt idx="22">
                  <c:v>0.00436512943072909</c:v>
                </c:pt>
                <c:pt idx="23">
                  <c:v>0.0048315954266947</c:v>
                </c:pt>
                <c:pt idx="24">
                  <c:v>0.00534300096055065</c:v>
                </c:pt>
                <c:pt idx="25">
                  <c:v>0.00590375852900402</c:v>
                </c:pt>
                <c:pt idx="26">
                  <c:v>0.006518694651271</c:v>
                </c:pt>
                <c:pt idx="27">
                  <c:v>0.00719308831398519</c:v>
                </c:pt>
                <c:pt idx="28">
                  <c:v>0.00793271287489968</c:v>
                </c:pt>
                <c:pt idx="29">
                  <c:v>0.00874388173063235</c:v>
                </c:pt>
                <c:pt idx="30">
                  <c:v>0.00963349807989434</c:v>
                </c:pt>
                <c:pt idx="31">
                  <c:v>0.0106091091420293</c:v>
                </c:pt>
                <c:pt idx="32">
                  <c:v>0.0116789652214537</c:v>
                </c:pt>
                <c:pt idx="33">
                  <c:v>0.0128520840419209</c:v>
                </c:pt>
                <c:pt idx="34">
                  <c:v>0.0141383208106404</c:v>
                </c:pt>
              </c:numCache>
            </c:numRef>
          </c:xVal>
          <c:yVal>
            <c:numRef>
              <c:f>[2]MC1!$E$30:$E$64</c:f>
              <c:numCache>
                <c:formatCode>General</c:formatCode>
                <c:ptCount val="35"/>
                <c:pt idx="0">
                  <c:v>0.0</c:v>
                </c:pt>
                <c:pt idx="1">
                  <c:v>0.0408546826962148</c:v>
                </c:pt>
                <c:pt idx="2">
                  <c:v>0.0429703952494488</c:v>
                </c:pt>
                <c:pt idx="3">
                  <c:v>0.0454136047355328</c:v>
                </c:pt>
                <c:pt idx="4">
                  <c:v>0.0482104322694092</c:v>
                </c:pt>
                <c:pt idx="5">
                  <c:v>0.0513898829341524</c:v>
                </c:pt>
                <c:pt idx="6">
                  <c:v>0.0549840967033187</c:v>
                </c:pt>
                <c:pt idx="7">
                  <c:v>0.0590286237643097</c:v>
                </c:pt>
                <c:pt idx="8">
                  <c:v>0.0635627263538747</c:v>
                </c:pt>
                <c:pt idx="9">
                  <c:v>0.0686297094069847</c:v>
                </c:pt>
                <c:pt idx="10">
                  <c:v>0.0742772825263169</c:v>
                </c:pt>
                <c:pt idx="11">
                  <c:v>0.0805579560028072</c:v>
                </c:pt>
                <c:pt idx="12">
                  <c:v>0.0875294738596159</c:v>
                </c:pt>
                <c:pt idx="13">
                  <c:v>0.095255287153989</c:v>
                </c:pt>
                <c:pt idx="14">
                  <c:v>0.10380507105556</c:v>
                </c:pt>
                <c:pt idx="15">
                  <c:v>0.113255289527434</c:v>
                </c:pt>
                <c:pt idx="16">
                  <c:v>0.123689811769969</c:v>
                </c:pt>
                <c:pt idx="17">
                  <c:v>0.135200584948515</c:v>
                </c:pt>
                <c:pt idx="18">
                  <c:v>0.147888368117947</c:v>
                </c:pt>
                <c:pt idx="19">
                  <c:v>0.161863532680975</c:v>
                </c:pt>
                <c:pt idx="20">
                  <c:v>0.177246935176659</c:v>
                </c:pt>
                <c:pt idx="21">
                  <c:v>0.194170868693235</c:v>
                </c:pt>
                <c:pt idx="22">
                  <c:v>0.212780099738272</c:v>
                </c:pt>
                <c:pt idx="23">
                  <c:v>0.233232997982809</c:v>
                </c:pt>
                <c:pt idx="24">
                  <c:v>0.255702766927974</c:v>
                </c:pt>
                <c:pt idx="25">
                  <c:v>0.280378784226685</c:v>
                </c:pt>
                <c:pt idx="26">
                  <c:v>0.307468061133491</c:v>
                </c:pt>
                <c:pt idx="27">
                  <c:v>0.337196831357092</c:v>
                </c:pt>
                <c:pt idx="28">
                  <c:v>0.369812280457244</c:v>
                </c:pt>
                <c:pt idx="29">
                  <c:v>0.405584427866337</c:v>
                </c:pt>
                <c:pt idx="30">
                  <c:v>0.444808174630995</c:v>
                </c:pt>
                <c:pt idx="31">
                  <c:v>0.487805531067477</c:v>
                </c:pt>
                <c:pt idx="32">
                  <c:v>0.53492803971222</c:v>
                </c:pt>
                <c:pt idx="33">
                  <c:v>0.586559410233589</c:v>
                </c:pt>
                <c:pt idx="34">
                  <c:v>0.643118384359719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65-469B-A390-19DCC2FE371A}"/>
            </c:ext>
          </c:extLst>
        </c:ser>
        <c:ser>
          <c:idx val="1"/>
          <c:order val="1"/>
          <c:tx>
            <c:v>7A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[2]MC1!$D$30:$D$52</c:f>
              <c:numCache>
                <c:formatCode>General</c:formatCode>
                <c:ptCount val="23"/>
                <c:pt idx="0">
                  <c:v>0.0</c:v>
                </c:pt>
                <c:pt idx="1">
                  <c:v>0.000178506472644748</c:v>
                </c:pt>
                <c:pt idx="2">
                  <c:v>0.000370036301537266</c:v>
                </c:pt>
                <c:pt idx="3">
                  <c:v>0.000577202774085008</c:v>
                </c:pt>
                <c:pt idx="4">
                  <c:v>0.000802914225897735</c:v>
                </c:pt>
                <c:pt idx="5">
                  <c:v>0.00105041739209558</c:v>
                </c:pt>
                <c:pt idx="6">
                  <c:v>0.00132334609677517</c:v>
                </c:pt>
                <c:pt idx="7">
                  <c:v>0.0016257759871435</c:v>
                </c:pt>
                <c:pt idx="8">
                  <c:v>0.00196228610570489</c:v>
                </c:pt>
                <c:pt idx="9">
                  <c:v>0.00233802819161064</c:v>
                </c:pt>
                <c:pt idx="10">
                  <c:v>0.00275880471215207</c:v>
                </c:pt>
                <c:pt idx="11">
                  <c:v>0.00323115674885022</c:v>
                </c:pt>
                <c:pt idx="12">
                  <c:v>0.00376246300129643</c:v>
                </c:pt>
                <c:pt idx="13">
                  <c:v>0.00436105132764622</c:v>
                </c:pt>
                <c:pt idx="14">
                  <c:v>0.00503632441550082</c:v>
                </c:pt>
                <c:pt idx="15">
                  <c:v>0.00579890137309824</c:v>
                </c:pt>
                <c:pt idx="16">
                  <c:v>0.00666077725082378</c:v>
                </c:pt>
                <c:pt idx="17">
                  <c:v>0.00763550274987571</c:v>
                </c:pt>
                <c:pt idx="18">
                  <c:v>0.0087383866516595</c:v>
                </c:pt>
                <c:pt idx="19">
                  <c:v>0.00998672381167433</c:v>
                </c:pt>
                <c:pt idx="20">
                  <c:v>0.0114000519092546</c:v>
                </c:pt>
                <c:pt idx="21">
                  <c:v>0.0130004405339509</c:v>
                </c:pt>
                <c:pt idx="22">
                  <c:v>0.0148128166255027</c:v>
                </c:pt>
              </c:numCache>
            </c:numRef>
          </c:xVal>
          <c:yVal>
            <c:numRef>
              <c:f>[2]MC1!$F$30:$F$52</c:f>
              <c:numCache>
                <c:formatCode>General</c:formatCode>
                <c:ptCount val="23"/>
                <c:pt idx="0">
                  <c:v>0.0</c:v>
                </c:pt>
                <c:pt idx="1">
                  <c:v>0.0892532363223741</c:v>
                </c:pt>
                <c:pt idx="2">
                  <c:v>0.0957649144462588</c:v>
                </c:pt>
                <c:pt idx="3">
                  <c:v>0.103583236273871</c:v>
                </c:pt>
                <c:pt idx="4">
                  <c:v>0.112855725906363</c:v>
                </c:pt>
                <c:pt idx="5">
                  <c:v>0.12375158309892</c:v>
                </c:pt>
                <c:pt idx="6">
                  <c:v>0.136464352339797</c:v>
                </c:pt>
                <c:pt idx="7">
                  <c:v>0.151214945184166</c:v>
                </c:pt>
                <c:pt idx="8">
                  <c:v>0.168255059280695</c:v>
                </c:pt>
                <c:pt idx="9">
                  <c:v>0.187871042952875</c:v>
                </c:pt>
                <c:pt idx="10">
                  <c:v>0.210388260270712</c:v>
                </c:pt>
                <c:pt idx="11">
                  <c:v>0.236176018349078</c:v>
                </c:pt>
                <c:pt idx="12">
                  <c:v>0.2656531262231</c:v>
                </c:pt>
                <c:pt idx="13">
                  <c:v>0.299294163174896</c:v>
                </c:pt>
                <c:pt idx="14">
                  <c:v>0.337636543927302</c:v>
                </c:pt>
                <c:pt idx="15">
                  <c:v>0.38128847879871</c:v>
                </c:pt>
                <c:pt idx="16">
                  <c:v>0.430937938862766</c:v>
                </c:pt>
                <c:pt idx="17">
                  <c:v>0.487362749525967</c:v>
                </c:pt>
                <c:pt idx="18">
                  <c:v>0.551441950891896</c:v>
                </c:pt>
                <c:pt idx="19">
                  <c:v>0.624168580007412</c:v>
                </c:pt>
                <c:pt idx="20">
                  <c:v>0.706664048790159</c:v>
                </c:pt>
                <c:pt idx="21">
                  <c:v>0.800194312348143</c:v>
                </c:pt>
                <c:pt idx="22">
                  <c:v>0.906188045775902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65-469B-A390-19DCC2FE3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523184"/>
        <c:axId val="1272299856"/>
      </c:scatterChart>
      <c:valAx>
        <c:axId val="1324523184"/>
        <c:scaling>
          <c:orientation val="minMax"/>
          <c:max val="0.016"/>
          <c:min val="0.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299856"/>
        <c:crosses val="autoZero"/>
        <c:crossBetween val="midCat"/>
      </c:valAx>
      <c:valAx>
        <c:axId val="1272299856"/>
        <c:scaling>
          <c:orientation val="minMax"/>
          <c:max val="2.0"/>
          <c:min val="0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Tangent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2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Tangent</a:t>
            </a:r>
            <a:r>
              <a:rPr lang="zh-TW" altLang="en-US" baseline="0"/>
              <a:t> </a:t>
            </a:r>
            <a:r>
              <a:rPr lang="en-US" altLang="zh-TW" baseline="0"/>
              <a:t>vs </a:t>
            </a:r>
            <a:r>
              <a:rPr lang="en-GB"/>
              <a:t>Stress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Average_After</c:v>
          </c:tx>
          <c:spPr>
            <a:ln w="25400">
              <a:noFill/>
            </a:ln>
          </c:spPr>
          <c:errBars>
            <c:errDir val="y"/>
            <c:errBarType val="both"/>
            <c:errValType val="cust"/>
            <c:noEndCap val="0"/>
            <c:plus>
              <c:numRef>
                <c:f>Sheet2!$X$2:$X$32</c:f>
                <c:numCache>
                  <c:formatCode>General</c:formatCode>
                  <c:ptCount val="31"/>
                  <c:pt idx="0">
                    <c:v>0.0230051961004258</c:v>
                  </c:pt>
                  <c:pt idx="1">
                    <c:v>0.024351868414798</c:v>
                  </c:pt>
                  <c:pt idx="2">
                    <c:v>0.0305408870321395</c:v>
                  </c:pt>
                  <c:pt idx="3">
                    <c:v>0.0393458061795983</c:v>
                  </c:pt>
                  <c:pt idx="4">
                    <c:v>0.0493833117681907</c:v>
                  </c:pt>
                  <c:pt idx="5">
                    <c:v>0.0600355073686098</c:v>
                  </c:pt>
                  <c:pt idx="6">
                    <c:v>0.0710239758395435</c:v>
                  </c:pt>
                  <c:pt idx="7">
                    <c:v>0.082211936744349</c:v>
                  </c:pt>
                  <c:pt idx="8">
                    <c:v>0.0935260273065121</c:v>
                  </c:pt>
                  <c:pt idx="9">
                    <c:v>0.104923856595375</c:v>
                  </c:pt>
                  <c:pt idx="10">
                    <c:v>0.116379390074635</c:v>
                  </c:pt>
                  <c:pt idx="11">
                    <c:v>0.127875821042951</c:v>
                  </c:pt>
                  <c:pt idx="12">
                    <c:v>0.139401844136423</c:v>
                  </c:pt>
                  <c:pt idx="13">
                    <c:v>0.150949588870042</c:v>
                  </c:pt>
                  <c:pt idx="14">
                    <c:v>0.162513414831004</c:v>
                  </c:pt>
                  <c:pt idx="15">
                    <c:v>0.174089178535819</c:v>
                  </c:pt>
                  <c:pt idx="16">
                    <c:v>0.185673770577917</c:v>
                  </c:pt>
                  <c:pt idx="17">
                    <c:v>0.197264813940916</c:v>
                  </c:pt>
                  <c:pt idx="18">
                    <c:v>0.208860461797193</c:v>
                  </c:pt>
                  <c:pt idx="19">
                    <c:v>0.220459258615075</c:v>
                  </c:pt>
                  <c:pt idx="20">
                    <c:v>0.23206004265229</c:v>
                  </c:pt>
                  <c:pt idx="21">
                    <c:v>0.243661876160592</c:v>
                  </c:pt>
                  <c:pt idx="22">
                    <c:v>0.255263994547247</c:v>
                  </c:pt>
                  <c:pt idx="23">
                    <c:v>0.266865768757454</c:v>
                  </c:pt>
                  <c:pt idx="24">
                    <c:v>0.278466677039747</c:v>
                  </c:pt>
                  <c:pt idx="25">
                    <c:v>0.290066283477033</c:v>
                  </c:pt>
                  <c:pt idx="26">
                    <c:v>0.301664221467158</c:v>
                  </c:pt>
                  <c:pt idx="27">
                    <c:v>0.313260180872743</c:v>
                  </c:pt>
                  <c:pt idx="28">
                    <c:v>0.324853897924498</c:v>
                  </c:pt>
                  <c:pt idx="29">
                    <c:v>0.336445147214235</c:v>
                  </c:pt>
                  <c:pt idx="30">
                    <c:v>0.348033735290295</c:v>
                  </c:pt>
                </c:numCache>
              </c:numRef>
            </c:plus>
            <c:minus>
              <c:numRef>
                <c:f>Sheet2!$X$2:$X$32</c:f>
                <c:numCache>
                  <c:formatCode>General</c:formatCode>
                  <c:ptCount val="31"/>
                  <c:pt idx="0">
                    <c:v>0.0230051961004258</c:v>
                  </c:pt>
                  <c:pt idx="1">
                    <c:v>0.024351868414798</c:v>
                  </c:pt>
                  <c:pt idx="2">
                    <c:v>0.0305408870321395</c:v>
                  </c:pt>
                  <c:pt idx="3">
                    <c:v>0.0393458061795983</c:v>
                  </c:pt>
                  <c:pt idx="4">
                    <c:v>0.0493833117681907</c:v>
                  </c:pt>
                  <c:pt idx="5">
                    <c:v>0.0600355073686098</c:v>
                  </c:pt>
                  <c:pt idx="6">
                    <c:v>0.0710239758395435</c:v>
                  </c:pt>
                  <c:pt idx="7">
                    <c:v>0.082211936744349</c:v>
                  </c:pt>
                  <c:pt idx="8">
                    <c:v>0.0935260273065121</c:v>
                  </c:pt>
                  <c:pt idx="9">
                    <c:v>0.104923856595375</c:v>
                  </c:pt>
                  <c:pt idx="10">
                    <c:v>0.116379390074635</c:v>
                  </c:pt>
                  <c:pt idx="11">
                    <c:v>0.127875821042951</c:v>
                  </c:pt>
                  <c:pt idx="12">
                    <c:v>0.139401844136423</c:v>
                  </c:pt>
                  <c:pt idx="13">
                    <c:v>0.150949588870042</c:v>
                  </c:pt>
                  <c:pt idx="14">
                    <c:v>0.162513414831004</c:v>
                  </c:pt>
                  <c:pt idx="15">
                    <c:v>0.174089178535819</c:v>
                  </c:pt>
                  <c:pt idx="16">
                    <c:v>0.185673770577917</c:v>
                  </c:pt>
                  <c:pt idx="17">
                    <c:v>0.197264813940916</c:v>
                  </c:pt>
                  <c:pt idx="18">
                    <c:v>0.208860461797193</c:v>
                  </c:pt>
                  <c:pt idx="19">
                    <c:v>0.220459258615075</c:v>
                  </c:pt>
                  <c:pt idx="20">
                    <c:v>0.23206004265229</c:v>
                  </c:pt>
                  <c:pt idx="21">
                    <c:v>0.243661876160592</c:v>
                  </c:pt>
                  <c:pt idx="22">
                    <c:v>0.255263994547247</c:v>
                  </c:pt>
                  <c:pt idx="23">
                    <c:v>0.266865768757454</c:v>
                  </c:pt>
                  <c:pt idx="24">
                    <c:v>0.278466677039747</c:v>
                  </c:pt>
                  <c:pt idx="25">
                    <c:v>0.290066283477033</c:v>
                  </c:pt>
                  <c:pt idx="26">
                    <c:v>0.301664221467158</c:v>
                  </c:pt>
                  <c:pt idx="27">
                    <c:v>0.313260180872743</c:v>
                  </c:pt>
                  <c:pt idx="28">
                    <c:v>0.324853897924498</c:v>
                  </c:pt>
                  <c:pt idx="29">
                    <c:v>0.336445147214235</c:v>
                  </c:pt>
                  <c:pt idx="30">
                    <c:v>0.348033735290295</c:v>
                  </c:pt>
                </c:numCache>
              </c:numRef>
            </c:minus>
            <c:spPr>
              <a:ln>
                <a:solidFill>
                  <a:schemeClr val="accent2">
                    <a:lumMod val="75000"/>
                  </a:schemeClr>
                </a:solidFill>
                <a:prstDash val="sysDash"/>
              </a:ln>
            </c:spPr>
          </c:errBars>
          <c:xVal>
            <c:numRef>
              <c:f>Sheet2!$O$2:$O$32</c:f>
              <c:numCache>
                <c:formatCode>General</c:formatCode>
                <c:ptCount val="31"/>
                <c:pt idx="0">
                  <c:v>0.0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</c:numCache>
            </c:numRef>
          </c:xVal>
          <c:yVal>
            <c:numRef>
              <c:f>Sheet2!$W$2:$W$32</c:f>
              <c:numCache>
                <c:formatCode>General</c:formatCode>
                <c:ptCount val="31"/>
                <c:pt idx="0">
                  <c:v>0.0327714285714286</c:v>
                </c:pt>
                <c:pt idx="1">
                  <c:v>0.0720059636785714</c:v>
                </c:pt>
                <c:pt idx="2">
                  <c:v>0.111297426142857</c:v>
                </c:pt>
                <c:pt idx="3">
                  <c:v>0.150645815964286</c:v>
                </c:pt>
                <c:pt idx="4">
                  <c:v>0.190051133142857</c:v>
                </c:pt>
                <c:pt idx="5">
                  <c:v>0.229513377678571</c:v>
                </c:pt>
                <c:pt idx="6">
                  <c:v>0.269032549571429</c:v>
                </c:pt>
                <c:pt idx="7">
                  <c:v>0.308608648821429</c:v>
                </c:pt>
                <c:pt idx="8">
                  <c:v>0.348241675428571</c:v>
                </c:pt>
                <c:pt idx="9">
                  <c:v>0.387931629392857</c:v>
                </c:pt>
                <c:pt idx="10">
                  <c:v>0.427678510714286</c:v>
                </c:pt>
                <c:pt idx="11">
                  <c:v>0.467482319392857</c:v>
                </c:pt>
                <c:pt idx="12">
                  <c:v>0.507343055428571</c:v>
                </c:pt>
                <c:pt idx="13">
                  <c:v>0.547260718821429</c:v>
                </c:pt>
                <c:pt idx="14">
                  <c:v>0.587235309571429</c:v>
                </c:pt>
                <c:pt idx="15">
                  <c:v>0.627266827678572</c:v>
                </c:pt>
                <c:pt idx="16">
                  <c:v>0.667355273142857</c:v>
                </c:pt>
                <c:pt idx="17">
                  <c:v>0.707500645964286</c:v>
                </c:pt>
                <c:pt idx="18">
                  <c:v>0.747702946142858</c:v>
                </c:pt>
                <c:pt idx="19">
                  <c:v>0.787962173678572</c:v>
                </c:pt>
                <c:pt idx="20">
                  <c:v>0.828278328571429</c:v>
                </c:pt>
                <c:pt idx="21">
                  <c:v>0.868651410821429</c:v>
                </c:pt>
                <c:pt idx="22">
                  <c:v>0.909081420428572</c:v>
                </c:pt>
                <c:pt idx="23">
                  <c:v>0.949568357392858</c:v>
                </c:pt>
                <c:pt idx="24">
                  <c:v>0.990112221714286</c:v>
                </c:pt>
                <c:pt idx="25">
                  <c:v>1.030713013392858</c:v>
                </c:pt>
                <c:pt idx="26">
                  <c:v>1.071370732428572</c:v>
                </c:pt>
                <c:pt idx="27">
                  <c:v>1.11208537882143</c:v>
                </c:pt>
                <c:pt idx="28">
                  <c:v>1.152856952571429</c:v>
                </c:pt>
                <c:pt idx="29">
                  <c:v>1.193685453678572</c:v>
                </c:pt>
                <c:pt idx="30">
                  <c:v>1.234570882142858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8C0-4B5B-B26F-4EFB70E64603}"/>
            </c:ext>
          </c:extLst>
        </c:ser>
        <c:ser>
          <c:idx val="0"/>
          <c:order val="1"/>
          <c:tx>
            <c:v>Average_Before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Sheet2!$L$2:$L$32</c:f>
                <c:numCache>
                  <c:formatCode>General</c:formatCode>
                  <c:ptCount val="31"/>
                  <c:pt idx="0">
                    <c:v>0.00490320594829835</c:v>
                  </c:pt>
                  <c:pt idx="1">
                    <c:v>0.00773778528727162</c:v>
                  </c:pt>
                  <c:pt idx="2">
                    <c:v>0.0138070417236279</c:v>
                  </c:pt>
                  <c:pt idx="3">
                    <c:v>0.0204004113081028</c:v>
                  </c:pt>
                  <c:pt idx="4">
                    <c:v>0.027135830423017</c:v>
                  </c:pt>
                  <c:pt idx="5">
                    <c:v>0.0339266485631548</c:v>
                  </c:pt>
                  <c:pt idx="6">
                    <c:v>0.0407433874012882</c:v>
                  </c:pt>
                  <c:pt idx="7">
                    <c:v>0.0475733820356029</c:v>
                  </c:pt>
                  <c:pt idx="8">
                    <c:v>0.0544103148979767</c:v>
                  </c:pt>
                  <c:pt idx="9">
                    <c:v>0.0612506906234768</c:v>
                  </c:pt>
                  <c:pt idx="10">
                    <c:v>0.06809242261382</c:v>
                  </c:pt>
                  <c:pt idx="11">
                    <c:v>0.0749341909073647</c:v>
                  </c:pt>
                  <c:pt idx="12">
                    <c:v>0.081775121649952</c:v>
                  </c:pt>
                  <c:pt idx="13">
                    <c:v>0.0886146148619575</c:v>
                  </c:pt>
                  <c:pt idx="14">
                    <c:v>0.0954522462343911</c:v>
                  </c:pt>
                  <c:pt idx="15">
                    <c:v>0.102287708332825</c:v>
                  </c:pt>
                  <c:pt idx="16">
                    <c:v>0.109120773924797</c:v>
                  </c:pt>
                  <c:pt idx="17">
                    <c:v>0.115951272295864</c:v>
                  </c:pt>
                  <c:pt idx="18">
                    <c:v>0.122779073488407</c:v>
                  </c:pt>
                  <c:pt idx="19">
                    <c:v>0.129604077535445</c:v>
                  </c:pt>
                  <c:pt idx="20">
                    <c:v>0.136426206935824</c:v>
                  </c:pt>
                  <c:pt idx="21">
                    <c:v>0.143245401286949</c:v>
                  </c:pt>
                  <c:pt idx="22">
                    <c:v>0.150061613386441</c:v>
                  </c:pt>
                  <c:pt idx="23">
                    <c:v>0.156874806354249</c:v>
                  </c:pt>
                  <c:pt idx="24">
                    <c:v>0.163684951476673</c:v>
                  </c:pt>
                  <c:pt idx="25">
                    <c:v>0.170492026569553</c:v>
                  </c:pt>
                  <c:pt idx="26">
                    <c:v>0.177296014720402</c:v>
                  </c:pt>
                  <c:pt idx="27">
                    <c:v>0.184096903310971</c:v>
                  </c:pt>
                  <c:pt idx="28">
                    <c:v>0.190894683249911</c:v>
                  </c:pt>
                  <c:pt idx="29">
                    <c:v>0.197689348364699</c:v>
                  </c:pt>
                  <c:pt idx="30">
                    <c:v>0.20448089491551</c:v>
                  </c:pt>
                </c:numCache>
              </c:numRef>
            </c:plus>
            <c:minus>
              <c:numRef>
                <c:f>Sheet2!$L$2:$L$32</c:f>
                <c:numCache>
                  <c:formatCode>General</c:formatCode>
                  <c:ptCount val="31"/>
                  <c:pt idx="0">
                    <c:v>0.00490320594829835</c:v>
                  </c:pt>
                  <c:pt idx="1">
                    <c:v>0.00773778528727162</c:v>
                  </c:pt>
                  <c:pt idx="2">
                    <c:v>0.0138070417236279</c:v>
                  </c:pt>
                  <c:pt idx="3">
                    <c:v>0.0204004113081028</c:v>
                  </c:pt>
                  <c:pt idx="4">
                    <c:v>0.027135830423017</c:v>
                  </c:pt>
                  <c:pt idx="5">
                    <c:v>0.0339266485631548</c:v>
                  </c:pt>
                  <c:pt idx="6">
                    <c:v>0.0407433874012882</c:v>
                  </c:pt>
                  <c:pt idx="7">
                    <c:v>0.0475733820356029</c:v>
                  </c:pt>
                  <c:pt idx="8">
                    <c:v>0.0544103148979767</c:v>
                  </c:pt>
                  <c:pt idx="9">
                    <c:v>0.0612506906234768</c:v>
                  </c:pt>
                  <c:pt idx="10">
                    <c:v>0.06809242261382</c:v>
                  </c:pt>
                  <c:pt idx="11">
                    <c:v>0.0749341909073647</c:v>
                  </c:pt>
                  <c:pt idx="12">
                    <c:v>0.081775121649952</c:v>
                  </c:pt>
                  <c:pt idx="13">
                    <c:v>0.0886146148619575</c:v>
                  </c:pt>
                  <c:pt idx="14">
                    <c:v>0.0954522462343911</c:v>
                  </c:pt>
                  <c:pt idx="15">
                    <c:v>0.102287708332825</c:v>
                  </c:pt>
                  <c:pt idx="16">
                    <c:v>0.109120773924797</c:v>
                  </c:pt>
                  <c:pt idx="17">
                    <c:v>0.115951272295864</c:v>
                  </c:pt>
                  <c:pt idx="18">
                    <c:v>0.122779073488407</c:v>
                  </c:pt>
                  <c:pt idx="19">
                    <c:v>0.129604077535445</c:v>
                  </c:pt>
                  <c:pt idx="20">
                    <c:v>0.136426206935824</c:v>
                  </c:pt>
                  <c:pt idx="21">
                    <c:v>0.143245401286949</c:v>
                  </c:pt>
                  <c:pt idx="22">
                    <c:v>0.150061613386441</c:v>
                  </c:pt>
                  <c:pt idx="23">
                    <c:v>0.156874806354249</c:v>
                  </c:pt>
                  <c:pt idx="24">
                    <c:v>0.163684951476673</c:v>
                  </c:pt>
                  <c:pt idx="25">
                    <c:v>0.170492026569553</c:v>
                  </c:pt>
                  <c:pt idx="26">
                    <c:v>0.177296014720402</c:v>
                  </c:pt>
                  <c:pt idx="27">
                    <c:v>0.184096903310971</c:v>
                  </c:pt>
                  <c:pt idx="28">
                    <c:v>0.190894683249911</c:v>
                  </c:pt>
                  <c:pt idx="29">
                    <c:v>0.197689348364699</c:v>
                  </c:pt>
                  <c:pt idx="30">
                    <c:v>0.20448089491551</c:v>
                  </c:pt>
                </c:numCache>
              </c:numRef>
            </c:minus>
            <c:spPr>
              <a:noFill/>
              <a:ln w="6350" cap="flat" cmpd="sng" algn="ctr">
                <a:solidFill>
                  <a:srgbClr val="0070C0"/>
                </a:solidFill>
                <a:prstDash val="sysDash"/>
                <a:round/>
              </a:ln>
              <a:effectLst/>
            </c:spPr>
          </c:errBars>
          <c:xVal>
            <c:numRef>
              <c:f>Sheet2!$C$2:$C$32</c:f>
              <c:numCache>
                <c:formatCode>General</c:formatCode>
                <c:ptCount val="31"/>
                <c:pt idx="0">
                  <c:v>0.0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</c:numCache>
            </c:numRef>
          </c:xVal>
          <c:yVal>
            <c:numRef>
              <c:f>Sheet2!$K$2:$K$32</c:f>
              <c:numCache>
                <c:formatCode>General</c:formatCode>
                <c:ptCount val="31"/>
                <c:pt idx="0">
                  <c:v>0.0209857142857143</c:v>
                </c:pt>
                <c:pt idx="1">
                  <c:v>0.0482478486785714</c:v>
                </c:pt>
                <c:pt idx="2">
                  <c:v>0.0755548232857143</c:v>
                </c:pt>
                <c:pt idx="3">
                  <c:v>0.102906638107143</c:v>
                </c:pt>
                <c:pt idx="4">
                  <c:v>0.130303293142857</c:v>
                </c:pt>
                <c:pt idx="5">
                  <c:v>0.157744788392857</c:v>
                </c:pt>
                <c:pt idx="6">
                  <c:v>0.185231123857143</c:v>
                </c:pt>
                <c:pt idx="7">
                  <c:v>0.212762299535714</c:v>
                </c:pt>
                <c:pt idx="8">
                  <c:v>0.240338315428571</c:v>
                </c:pt>
                <c:pt idx="9">
                  <c:v>0.267959171535714</c:v>
                </c:pt>
                <c:pt idx="10">
                  <c:v>0.295624867857143</c:v>
                </c:pt>
                <c:pt idx="11">
                  <c:v>0.323335404392857</c:v>
                </c:pt>
                <c:pt idx="12">
                  <c:v>0.351090781142857</c:v>
                </c:pt>
                <c:pt idx="13">
                  <c:v>0.378890998107143</c:v>
                </c:pt>
                <c:pt idx="14">
                  <c:v>0.406736055285714</c:v>
                </c:pt>
                <c:pt idx="15">
                  <c:v>0.434625952678572</c:v>
                </c:pt>
                <c:pt idx="16">
                  <c:v>0.462560690285714</c:v>
                </c:pt>
                <c:pt idx="17">
                  <c:v>0.490540268107143</c:v>
                </c:pt>
                <c:pt idx="18">
                  <c:v>0.518564686142857</c:v>
                </c:pt>
                <c:pt idx="19">
                  <c:v>0.546633944392857</c:v>
                </c:pt>
                <c:pt idx="20">
                  <c:v>0.574748042857143</c:v>
                </c:pt>
                <c:pt idx="21">
                  <c:v>0.602906981535715</c:v>
                </c:pt>
                <c:pt idx="22">
                  <c:v>0.631110760428572</c:v>
                </c:pt>
                <c:pt idx="23">
                  <c:v>0.659359379535714</c:v>
                </c:pt>
                <c:pt idx="24">
                  <c:v>0.687652838857143</c:v>
                </c:pt>
                <c:pt idx="25">
                  <c:v>0.715991138392858</c:v>
                </c:pt>
                <c:pt idx="26">
                  <c:v>0.744374278142857</c:v>
                </c:pt>
                <c:pt idx="27">
                  <c:v>0.772802258107143</c:v>
                </c:pt>
                <c:pt idx="28">
                  <c:v>0.801275078285715</c:v>
                </c:pt>
                <c:pt idx="29">
                  <c:v>0.829792738678572</c:v>
                </c:pt>
                <c:pt idx="30">
                  <c:v>0.858355239285715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8C0-4B5B-B26F-4EFB70E64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611232"/>
        <c:axId val="1270927424"/>
      </c:scatterChart>
      <c:valAx>
        <c:axId val="1248611232"/>
        <c:scaling>
          <c:orientation val="minMax"/>
          <c:max val="0.016"/>
          <c:min val="0.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Stess</a:t>
                </a:r>
                <a:r>
                  <a:rPr lang="en-GB" baseline="0"/>
                  <a:t> (MPa)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927424"/>
        <c:crosses val="autoZero"/>
        <c:crossBetween val="midCat"/>
      </c:valAx>
      <c:valAx>
        <c:axId val="1270927424"/>
        <c:scaling>
          <c:orientation val="minMax"/>
          <c:max val="2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 Tangent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61123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65000"/>
        </a:schemeClr>
      </a:solidFill>
      <a:prstDash val="solid"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36</xdr:row>
      <xdr:rowOff>0</xdr:rowOff>
    </xdr:from>
    <xdr:to>
      <xdr:col>8</xdr:col>
      <xdr:colOff>447152</xdr:colOff>
      <xdr:row>51</xdr:row>
      <xdr:rowOff>59992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36</xdr:row>
      <xdr:rowOff>12700</xdr:rowOff>
    </xdr:from>
    <xdr:to>
      <xdr:col>15</xdr:col>
      <xdr:colOff>458875</xdr:colOff>
      <xdr:row>51</xdr:row>
      <xdr:rowOff>72693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266700</xdr:colOff>
      <xdr:row>36</xdr:row>
      <xdr:rowOff>12700</xdr:rowOff>
    </xdr:from>
    <xdr:to>
      <xdr:col>23</xdr:col>
      <xdr:colOff>40753</xdr:colOff>
      <xdr:row>51</xdr:row>
      <xdr:rowOff>67808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54</xdr:row>
      <xdr:rowOff>0</xdr:rowOff>
    </xdr:from>
    <xdr:to>
      <xdr:col>8</xdr:col>
      <xdr:colOff>447153</xdr:colOff>
      <xdr:row>69</xdr:row>
      <xdr:rowOff>59993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101600</xdr:colOff>
      <xdr:row>54</xdr:row>
      <xdr:rowOff>38100</xdr:rowOff>
    </xdr:from>
    <xdr:to>
      <xdr:col>15</xdr:col>
      <xdr:colOff>484275</xdr:colOff>
      <xdr:row>69</xdr:row>
      <xdr:rowOff>93208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254000</xdr:colOff>
      <xdr:row>54</xdr:row>
      <xdr:rowOff>88900</xdr:rowOff>
    </xdr:from>
    <xdr:to>
      <xdr:col>23</xdr:col>
      <xdr:colOff>28052</xdr:colOff>
      <xdr:row>69</xdr:row>
      <xdr:rowOff>148893</xdr:rowOff>
    </xdr:to>
    <xdr:graphicFrame macro="">
      <xdr:nvGraphicFramePr>
        <xdr:cNvPr id="11" name="Chart 10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50800</xdr:colOff>
      <xdr:row>36</xdr:row>
      <xdr:rowOff>12700</xdr:rowOff>
    </xdr:from>
    <xdr:to>
      <xdr:col>30</xdr:col>
      <xdr:colOff>451257</xdr:colOff>
      <xdr:row>51</xdr:row>
      <xdr:rowOff>12079</xdr:rowOff>
    </xdr:to>
    <xdr:graphicFrame macro="">
      <xdr:nvGraphicFramePr>
        <xdr:cNvPr id="12" name="Chart 1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330200</xdr:colOff>
      <xdr:row>7</xdr:row>
      <xdr:rowOff>50800</xdr:rowOff>
    </xdr:from>
    <xdr:to>
      <xdr:col>32</xdr:col>
      <xdr:colOff>906</xdr:colOff>
      <xdr:row>21</xdr:row>
      <xdr:rowOff>127000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YE7/EYE6/eye6_stressvsstrai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YE7/EYE7/eye7_stressvsstra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YE7/EYE5/eye5_stressvsstrai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YE7/EYE4/eye4_stressvsstrai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YE7/EYE3/eye3_stressvsstrai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YE7/EYE2/eye2_stressvsstrai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YE7/EYE1/eye1_stressvsstr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1"/>
    </sheetNames>
    <sheetDataSet>
      <sheetData sheetId="0">
        <row r="28">
          <cell r="C28" t="str">
            <v>Before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C31">
            <v>5.9033144064524208E-5</v>
          </cell>
          <cell r="D31">
            <v>5.3178411422973514E-5</v>
          </cell>
          <cell r="E31">
            <v>2.9516572032262076E-2</v>
          </cell>
          <cell r="F31">
            <v>2.6589205711486735E-2</v>
          </cell>
        </row>
        <row r="32">
          <cell r="C32">
            <v>1.2125232960720593E-4</v>
          </cell>
          <cell r="D32">
            <v>1.114793540820656E-4</v>
          </cell>
          <cell r="E32">
            <v>3.110959277134083E-2</v>
          </cell>
          <cell r="F32">
            <v>2.9150471329546016E-2</v>
          </cell>
        </row>
        <row r="33">
          <cell r="C33">
            <v>1.8716623376224372E-4</v>
          </cell>
          <cell r="D33">
            <v>1.7617466061070755E-4</v>
          </cell>
          <cell r="E33">
            <v>3.2956952077518864E-2</v>
          </cell>
          <cell r="F33">
            <v>3.2347653264320944E-2</v>
          </cell>
        </row>
        <row r="34">
          <cell r="C34">
            <v>2.573258620139455E-4</v>
          </cell>
          <cell r="D34">
            <v>2.4872535034515289E-4</v>
          </cell>
          <cell r="E34">
            <v>3.5079814125850858E-2</v>
          </cell>
          <cell r="F34">
            <v>3.6275344867222635E-2</v>
          </cell>
        </row>
        <row r="35">
          <cell r="C35">
            <v>3.3232938332542004E-4</v>
          </cell>
          <cell r="D35">
            <v>3.3081679215069091E-4</v>
          </cell>
          <cell r="E35">
            <v>3.7501760655737237E-2</v>
          </cell>
          <cell r="F35">
            <v>4.1045720902768972E-2</v>
          </cell>
        </row>
        <row r="36">
          <cell r="C36">
            <v>4.1282740431715511E-4</v>
          </cell>
          <cell r="D36">
            <v>4.2439954897493685E-4</v>
          </cell>
          <cell r="E36">
            <v>4.0249010495867502E-2</v>
          </cell>
          <cell r="F36">
            <v>4.6791378412122935E-2</v>
          </cell>
        </row>
        <row r="37">
          <cell r="C37">
            <v>4.995287267939995E-4</v>
          </cell>
          <cell r="D37">
            <v>5.3173687078704348E-4</v>
          </cell>
          <cell r="E37">
            <v>4.3350661238422156E-2</v>
          </cell>
          <cell r="F37">
            <v>5.3668660906053267E-2</v>
          </cell>
        </row>
        <row r="38">
          <cell r="C38">
            <v>5.9320663692224627E-4</v>
          </cell>
          <cell r="D38">
            <v>6.5545995865942447E-4</v>
          </cell>
          <cell r="E38">
            <v>4.683895506412334E-2</v>
          </cell>
          <cell r="F38">
            <v>6.1861543936190436E-2</v>
          </cell>
        </row>
        <row r="39">
          <cell r="C39">
            <v>6.9470577873665686E-4</v>
          </cell>
          <cell r="D39">
            <v>7.9863230420397664E-4</v>
          </cell>
          <cell r="E39">
            <v>5.0749570907205256E-2</v>
          </cell>
          <cell r="F39">
            <v>7.1586172772276024E-2</v>
          </cell>
        </row>
        <row r="40">
          <cell r="C40">
            <v>8.0494966944312063E-4</v>
          </cell>
          <cell r="D40">
            <v>9.6482461939305169E-4</v>
          </cell>
          <cell r="E40">
            <v>5.5121945353231831E-2</v>
          </cell>
          <cell r="F40">
            <v>8.3096157594537451E-2</v>
          </cell>
        </row>
        <row r="41">
          <cell r="C41">
            <v>9.2494891921187186E-4</v>
          </cell>
          <cell r="D41">
            <v>1.1582021166093937E-3</v>
          </cell>
          <cell r="E41">
            <v>5.999962488437556E-2</v>
          </cell>
          <cell r="F41">
            <v>9.6688748608170907E-2</v>
          </cell>
        </row>
        <row r="42">
          <cell r="C42">
            <v>1.0558102238675377E-3</v>
          </cell>
          <cell r="D42">
            <v>1.3836261829357987E-3</v>
          </cell>
          <cell r="E42">
            <v>6.5430652327832864E-2</v>
          </cell>
          <cell r="F42">
            <v>0.11271203316320239</v>
          </cell>
        </row>
        <row r="43">
          <cell r="C43">
            <v>1.1987462051179652E-3</v>
          </cell>
          <cell r="D43">
            <v>1.6467728224061134E-3</v>
          </cell>
          <cell r="E43">
            <v>7.1467990625213709E-2</v>
          </cell>
          <cell r="F43">
            <v>0.13157331973515723</v>
          </cell>
        </row>
        <row r="44">
          <cell r="C44">
            <v>1.3550861797695761E-3</v>
          </cell>
          <cell r="D44">
            <v>1.9542706223488193E-3</v>
          </cell>
          <cell r="E44">
            <v>7.8169987325805351E-2</v>
          </cell>
          <cell r="F44">
            <v>0.15374889997135283</v>
          </cell>
        </row>
        <row r="45">
          <cell r="C45">
            <v>1.5262879468027778E-3</v>
          </cell>
          <cell r="D45">
            <v>2.3138614433268457E-3</v>
          </cell>
          <cell r="E45">
            <v>8.5600883516600751E-2</v>
          </cell>
          <cell r="F45">
            <v>0.17979541048901301</v>
          </cell>
        </row>
        <row r="46">
          <cell r="C46">
            <v>1.7139506892808328E-3</v>
          </cell>
          <cell r="D46">
            <v>2.7345875460552224E-3</v>
          </cell>
          <cell r="E46">
            <v>9.3831371239027447E-2</v>
          </cell>
          <cell r="F46">
            <v>0.2103630513641882</v>
          </cell>
        </row>
        <row r="47">
          <cell r="C47">
            <v>1.9198290968983449E-3</v>
          </cell>
          <cell r="D47">
            <v>3.2270094640776104E-3</v>
          </cell>
          <cell r="E47">
            <v>0.10293920380875594</v>
          </cell>
          <cell r="F47">
            <v>0.24621095901119378</v>
          </cell>
        </row>
        <row r="48">
          <cell r="C48">
            <v>2.1458488246050536E-3</v>
          </cell>
          <cell r="D48">
            <v>3.8034596206163959E-3</v>
          </cell>
          <cell r="E48">
            <v>0.11300986385335426</v>
          </cell>
          <cell r="F48">
            <v>0.28822507826939248</v>
          </cell>
        </row>
        <row r="49">
          <cell r="C49">
            <v>2.3941234132362648E-3</v>
          </cell>
          <cell r="D49">
            <v>4.4783374865456161E-3</v>
          </cell>
          <cell r="E49">
            <v>0.1241372943156055</v>
          </cell>
          <cell r="F49">
            <v>0.33743893296460981</v>
          </cell>
        </row>
        <row r="50">
          <cell r="C50">
            <v>2.6669728095181969E-3</v>
          </cell>
          <cell r="D50">
            <v>5.2684530007871275E-3</v>
          </cell>
          <cell r="E50">
            <v>0.13642469814096594</v>
          </cell>
          <cell r="F50">
            <v>0.39505775712075536</v>
          </cell>
        </row>
        <row r="51">
          <cell r="C51">
            <v>2.9669436352766339E-3</v>
          </cell>
          <cell r="D51">
            <v>6.1934260441030668E-3</v>
          </cell>
          <cell r="E51">
            <v>0.14998541287921835</v>
          </cell>
          <cell r="F51">
            <v>0.46248652165796927</v>
          </cell>
        </row>
        <row r="52">
          <cell r="C52">
            <v>3.2968313692489865E-3</v>
          </cell>
          <cell r="D52">
            <v>7.2761509947341105E-3</v>
          </cell>
          <cell r="E52">
            <v>0.16494386698617614</v>
          </cell>
          <cell r="F52">
            <v>0.5413624753155214</v>
          </cell>
        </row>
        <row r="53">
          <cell r="C53">
            <v>3.6597046196795708E-3</v>
          </cell>
          <cell r="D53">
            <v>8.5433368255228865E-3</v>
          </cell>
          <cell r="E53">
            <v>0.18143662521529202</v>
          </cell>
          <cell r="F53">
            <v>0.63359291539438745</v>
          </cell>
        </row>
        <row r="54">
          <cell r="C54">
            <v>4.0589316819697715E-3</v>
          </cell>
          <cell r="D54">
            <v>1.0026134856912937E-2</v>
          </cell>
          <cell r="E54">
            <v>0.19961353114510014</v>
          </cell>
          <cell r="F54">
            <v>0.74139901569502475</v>
          </cell>
        </row>
        <row r="55">
          <cell r="C55">
            <v>4.4982095931720301E-3</v>
          </cell>
          <cell r="D55">
            <v>1.1760868192904507E-2</v>
          </cell>
          <cell r="E55">
            <v>0.21963895560112914</v>
          </cell>
          <cell r="F55">
            <v>0.86736666799578432</v>
          </cell>
        </row>
        <row r="56">
          <cell r="C56">
            <v>4.9815959141818536E-3</v>
          </cell>
          <cell r="D56">
            <v>1.3789879077262203E-2</v>
          </cell>
          <cell r="E56">
            <v>0.24169316050491152</v>
          </cell>
          <cell r="F56">
            <v>1.0145054421788471</v>
          </cell>
        </row>
        <row r="57">
          <cell r="C57">
            <v>5.5135434912285128E-3</v>
          </cell>
          <cell r="E57">
            <v>0.26597378852332937</v>
          </cell>
        </row>
        <row r="58">
          <cell r="C58">
            <v>6.0989384708366465E-3</v>
          </cell>
          <cell r="E58">
            <v>0.29269748980406657</v>
          </cell>
        </row>
        <row r="59">
          <cell r="C59">
            <v>6.7431418669841973E-3</v>
          </cell>
          <cell r="E59">
            <v>0.32210169807377514</v>
          </cell>
        </row>
        <row r="60">
          <cell r="C60">
            <v>7.4520350058861155E-3</v>
          </cell>
          <cell r="E60">
            <v>0.35444656945095876</v>
          </cell>
        </row>
        <row r="61">
          <cell r="C61">
            <v>8.23206920287161E-3</v>
          </cell>
          <cell r="E61">
            <v>0.39001709849274691</v>
          </cell>
        </row>
        <row r="62">
          <cell r="C62">
            <v>9.0903200573940694E-3</v>
          </cell>
          <cell r="E62">
            <v>0.42912542726122932</v>
          </cell>
        </row>
        <row r="63">
          <cell r="C63">
            <v>1.003454678653257E-2</v>
          </cell>
          <cell r="E63">
            <v>0.47211336456924996</v>
          </cell>
        </row>
        <row r="64">
          <cell r="C64">
            <v>1.1073257054644882E-2</v>
          </cell>
          <cell r="E64">
            <v>0.51935513405615541</v>
          </cell>
        </row>
        <row r="65">
          <cell r="C65">
            <v>1.2215777797366883E-2</v>
          </cell>
          <cell r="E65">
            <v>0.57126037136100016</v>
          </cell>
        </row>
        <row r="66">
          <cell r="C66">
            <v>1.3472332582195193E-2</v>
          </cell>
          <cell r="E66">
            <v>0.62827739241415448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1"/>
    </sheetNames>
    <sheetDataSet>
      <sheetData sheetId="0">
        <row r="28">
          <cell r="C28" t="str">
            <v>Before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C31">
            <v>8.1709365392429746E-5</v>
          </cell>
          <cell r="D31">
            <v>1.7850647264474847E-4</v>
          </cell>
          <cell r="E31">
            <v>4.0854682696214839E-2</v>
          </cell>
          <cell r="F31">
            <v>8.9253236322374155E-2</v>
          </cell>
        </row>
        <row r="32">
          <cell r="C32">
            <v>1.676501558913275E-4</v>
          </cell>
          <cell r="D32">
            <v>3.700363015372662E-4</v>
          </cell>
          <cell r="E32">
            <v>4.2970395249448838E-2</v>
          </cell>
          <cell r="F32">
            <v>9.5764914446258786E-2</v>
          </cell>
        </row>
        <row r="33">
          <cell r="C33">
            <v>2.5847736536239313E-4</v>
          </cell>
          <cell r="D33">
            <v>5.7720277408500841E-4</v>
          </cell>
          <cell r="E33">
            <v>4.5413604735532777E-2</v>
          </cell>
          <cell r="F33">
            <v>0.103583236273871</v>
          </cell>
        </row>
        <row r="34">
          <cell r="C34">
            <v>3.548982299012116E-4</v>
          </cell>
          <cell r="D34">
            <v>8.0291422589773558E-4</v>
          </cell>
          <cell r="E34">
            <v>4.8210432269409187E-2</v>
          </cell>
          <cell r="F34">
            <v>0.11285572590636349</v>
          </cell>
        </row>
        <row r="35">
          <cell r="C35">
            <v>4.5767799576951657E-4</v>
          </cell>
          <cell r="D35">
            <v>1.0504173920955762E-3</v>
          </cell>
          <cell r="E35">
            <v>5.1389882934152441E-2</v>
          </cell>
          <cell r="F35">
            <v>0.12375158309892018</v>
          </cell>
        </row>
        <row r="36">
          <cell r="C36">
            <v>5.6764618917615401E-4</v>
          </cell>
          <cell r="D36">
            <v>1.3233460967751703E-3</v>
          </cell>
          <cell r="E36">
            <v>5.498409670331867E-2</v>
          </cell>
          <cell r="F36">
            <v>0.13646435233979695</v>
          </cell>
        </row>
        <row r="37">
          <cell r="C37">
            <v>6.8570343670477354E-4</v>
          </cell>
          <cell r="D37">
            <v>1.6257759871435018E-3</v>
          </cell>
          <cell r="E37">
            <v>5.9028623764309715E-2</v>
          </cell>
          <cell r="F37">
            <v>0.15121494518416559</v>
          </cell>
        </row>
        <row r="38">
          <cell r="C38">
            <v>8.1282888941252315E-4</v>
          </cell>
          <cell r="D38">
            <v>1.962286105704892E-3</v>
          </cell>
          <cell r="E38">
            <v>6.3562726353874749E-2</v>
          </cell>
          <cell r="F38">
            <v>0.16825505928069498</v>
          </cell>
        </row>
        <row r="39">
          <cell r="C39">
            <v>9.5008830822649281E-4</v>
          </cell>
          <cell r="D39">
            <v>2.338028191610643E-3</v>
          </cell>
          <cell r="E39">
            <v>6.8629709406984762E-2</v>
          </cell>
          <cell r="F39">
            <v>0.18787104295287529</v>
          </cell>
        </row>
        <row r="40">
          <cell r="C40">
            <v>1.0986428732791267E-3</v>
          </cell>
          <cell r="D40">
            <v>2.7588047121520679E-3</v>
          </cell>
          <cell r="E40">
            <v>7.4277282526316865E-2</v>
          </cell>
          <cell r="F40">
            <v>0.21038826027071228</v>
          </cell>
        </row>
        <row r="41">
          <cell r="C41">
            <v>1.2597587852847412E-3</v>
          </cell>
          <cell r="D41">
            <v>3.2311567488502251E-3</v>
          </cell>
          <cell r="E41">
            <v>8.0557956002807213E-2</v>
          </cell>
          <cell r="F41">
            <v>0.23617601834907839</v>
          </cell>
        </row>
        <row r="42">
          <cell r="C42">
            <v>1.4348177330039732E-3</v>
          </cell>
          <cell r="D42">
            <v>3.7624630012964263E-3</v>
          </cell>
          <cell r="E42">
            <v>8.7529473859615889E-2</v>
          </cell>
          <cell r="F42">
            <v>0.26565312622310033</v>
          </cell>
        </row>
        <row r="43">
          <cell r="C43">
            <v>1.6253283073119514E-3</v>
          </cell>
          <cell r="D43">
            <v>4.3610513276462195E-3</v>
          </cell>
          <cell r="E43">
            <v>9.525528715398901E-2</v>
          </cell>
          <cell r="F43">
            <v>0.29929416317489638</v>
          </cell>
        </row>
        <row r="44">
          <cell r="C44">
            <v>1.8329384494230722E-3</v>
          </cell>
          <cell r="D44">
            <v>5.0363244155008239E-3</v>
          </cell>
          <cell r="E44">
            <v>0.10380507105556032</v>
          </cell>
          <cell r="F44">
            <v>0.33763654392730186</v>
          </cell>
        </row>
        <row r="45">
          <cell r="C45">
            <v>2.0594490284779406E-3</v>
          </cell>
          <cell r="D45">
            <v>5.7989013730982454E-3</v>
          </cell>
          <cell r="E45">
            <v>0.11325528952743409</v>
          </cell>
          <cell r="F45">
            <v>0.38128847879871042</v>
          </cell>
        </row>
        <row r="46">
          <cell r="C46">
            <v>2.3068286520178788E-3</v>
          </cell>
          <cell r="D46">
            <v>6.6607772508237772E-3</v>
          </cell>
          <cell r="E46">
            <v>0.12368981176996902</v>
          </cell>
          <cell r="F46">
            <v>0.43093793886276555</v>
          </cell>
        </row>
        <row r="47">
          <cell r="C47">
            <v>2.5772298219149089E-3</v>
          </cell>
          <cell r="D47">
            <v>7.6355027498757116E-3</v>
          </cell>
          <cell r="E47">
            <v>0.13520058494851489</v>
          </cell>
          <cell r="F47">
            <v>0.48736274952596675</v>
          </cell>
        </row>
        <row r="48">
          <cell r="C48">
            <v>2.8730065581508025E-3</v>
          </cell>
          <cell r="D48">
            <v>8.7383866516595049E-3</v>
          </cell>
          <cell r="E48">
            <v>0.14788836811794667</v>
          </cell>
          <cell r="F48">
            <v>0.55144195089189618</v>
          </cell>
        </row>
        <row r="49">
          <cell r="C49">
            <v>3.1967336235127538E-3</v>
          </cell>
          <cell r="D49">
            <v>9.9867238116743296E-3</v>
          </cell>
          <cell r="E49">
            <v>0.1618635326809755</v>
          </cell>
          <cell r="F49">
            <v>0.62416858000741182</v>
          </cell>
        </row>
        <row r="50">
          <cell r="C50">
            <v>3.5512274938660723E-3</v>
          </cell>
          <cell r="D50">
            <v>1.1400051909254649E-2</v>
          </cell>
          <cell r="E50">
            <v>0.1772469351766591</v>
          </cell>
          <cell r="F50">
            <v>0.70666404879015887</v>
          </cell>
        </row>
        <row r="51">
          <cell r="C51">
            <v>3.9395692312525418E-3</v>
          </cell>
          <cell r="D51">
            <v>1.3000440533950936E-2</v>
          </cell>
          <cell r="E51">
            <v>0.19417086869323461</v>
          </cell>
          <cell r="F51">
            <v>0.80019431234814287</v>
          </cell>
        </row>
        <row r="52">
          <cell r="C52">
            <v>4.3651294307290867E-3</v>
          </cell>
          <cell r="D52">
            <v>1.4812816625502741E-2</v>
          </cell>
          <cell r="E52">
            <v>0.21278009973827222</v>
          </cell>
          <cell r="F52">
            <v>0.90618804577590184</v>
          </cell>
        </row>
        <row r="53">
          <cell r="C53">
            <v>4.8315954266947049E-3</v>
          </cell>
          <cell r="E53">
            <v>0.23323299798280892</v>
          </cell>
        </row>
        <row r="54">
          <cell r="C54">
            <v>5.3430009605506543E-3</v>
          </cell>
          <cell r="E54">
            <v>0.25570276692797445</v>
          </cell>
        </row>
        <row r="55">
          <cell r="C55">
            <v>5.9037585290040249E-3</v>
          </cell>
          <cell r="E55">
            <v>0.28037878422668505</v>
          </cell>
        </row>
        <row r="56">
          <cell r="C56">
            <v>6.518694651271007E-3</v>
          </cell>
          <cell r="E56">
            <v>0.30746806113349079</v>
          </cell>
        </row>
        <row r="57">
          <cell r="C57">
            <v>7.1930883139851914E-3</v>
          </cell>
          <cell r="E57">
            <v>0.33719683135709194</v>
          </cell>
        </row>
        <row r="58">
          <cell r="C58">
            <v>7.9327128748996802E-3</v>
          </cell>
          <cell r="E58">
            <v>0.36981228045724407</v>
          </cell>
        </row>
        <row r="59">
          <cell r="C59">
            <v>8.7438817306323552E-3</v>
          </cell>
          <cell r="E59">
            <v>0.40558442786633714</v>
          </cell>
        </row>
        <row r="60">
          <cell r="C60">
            <v>9.6334980798943454E-3</v>
          </cell>
          <cell r="E60">
            <v>0.4448081746309947</v>
          </cell>
        </row>
        <row r="61">
          <cell r="C61">
            <v>1.06091091420293E-2</v>
          </cell>
          <cell r="E61">
            <v>0.48780553106747687</v>
          </cell>
        </row>
        <row r="62">
          <cell r="C62">
            <v>1.167896522145374E-2</v>
          </cell>
          <cell r="E62">
            <v>0.53492803971221958</v>
          </cell>
        </row>
        <row r="63">
          <cell r="C63">
            <v>1.285208404192092E-2</v>
          </cell>
          <cell r="E63">
            <v>0.58655941023358915</v>
          </cell>
        </row>
        <row r="64">
          <cell r="C64">
            <v>1.413832081064036E-2</v>
          </cell>
          <cell r="E64">
            <v>0.64311838435971946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1"/>
    </sheetNames>
    <sheetDataSet>
      <sheetData sheetId="0">
        <row r="28">
          <cell r="C28" t="str">
            <v>Before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C31">
            <v>5.0548705137124354E-5</v>
          </cell>
          <cell r="D31">
            <v>5.5242870484094363E-5</v>
          </cell>
          <cell r="E31">
            <v>2.5274352568562156E-2</v>
          </cell>
          <cell r="F31">
            <v>2.7621435242047156E-2</v>
          </cell>
        </row>
        <row r="32">
          <cell r="C32">
            <v>1.0412062317235741E-4</v>
          </cell>
          <cell r="D32">
            <v>1.1629150086700163E-4</v>
          </cell>
          <cell r="E32">
            <v>2.6785959017616504E-2</v>
          </cell>
          <cell r="F32">
            <v>3.0524315191453606E-2</v>
          </cell>
        </row>
        <row r="33">
          <cell r="C33">
            <v>1.6123727970452471E-4</v>
          </cell>
          <cell r="D33">
            <v>1.846870019891213E-4</v>
          </cell>
          <cell r="E33">
            <v>2.8558328266083621E-2</v>
          </cell>
          <cell r="F33">
            <v>3.4197750561059802E-2</v>
          </cell>
        </row>
        <row r="34">
          <cell r="C34">
            <v>2.2246838985769934E-4</v>
          </cell>
          <cell r="D34">
            <v>2.6222018511142339E-4</v>
          </cell>
          <cell r="E34">
            <v>3.0615555076587291E-2</v>
          </cell>
          <cell r="F34">
            <v>3.8766591561151011E-2</v>
          </cell>
        </row>
        <row r="35">
          <cell r="C35">
            <v>2.884378523334298E-4</v>
          </cell>
          <cell r="D35">
            <v>3.50981531965664E-4</v>
          </cell>
          <cell r="E35">
            <v>3.2984731237865203E-2</v>
          </cell>
          <cell r="F35">
            <v>4.4380673427120265E-2</v>
          </cell>
        </row>
        <row r="36">
          <cell r="C36">
            <v>3.5983034807806144E-4</v>
          </cell>
          <cell r="D36">
            <v>4.5341994413595029E-4</v>
          </cell>
          <cell r="E36">
            <v>3.5696247872315783E-2</v>
          </cell>
          <cell r="F36">
            <v>5.1219206085143097E-2</v>
          </cell>
        </row>
        <row r="37">
          <cell r="C37">
            <v>4.3739861045284526E-4</v>
          </cell>
          <cell r="D37">
            <v>5.7241188748859302E-4</v>
          </cell>
          <cell r="E37">
            <v>3.8784131187391872E-2</v>
          </cell>
          <cell r="F37">
            <v>5.9495971676321313E-2</v>
          </cell>
        </row>
        <row r="38">
          <cell r="C38">
            <v>5.2197144051979152E-4</v>
          </cell>
          <cell r="D38">
            <v>7.1134283104822547E-4</v>
          </cell>
          <cell r="E38">
            <v>4.2286415033473093E-2</v>
          </cell>
          <cell r="F38">
            <v>6.9465471779816157E-2</v>
          </cell>
        </row>
        <row r="39">
          <cell r="C39">
            <v>6.1446254847622968E-4</v>
          </cell>
          <cell r="D39">
            <v>8.7420321340751425E-4</v>
          </cell>
          <cell r="E39">
            <v>4.6245553978219042E-2</v>
          </cell>
          <cell r="F39">
            <v>8.1430191179644326E-2</v>
          </cell>
        </row>
        <row r="40">
          <cell r="C40">
            <v>7.1588031045353594E-4</v>
          </cell>
          <cell r="D40">
            <v>1.0657015620527731E-3</v>
          </cell>
          <cell r="E40">
            <v>5.0708880988653081E-2</v>
          </cell>
          <cell r="F40">
            <v>9.5749174322629332E-2</v>
          </cell>
        </row>
        <row r="41">
          <cell r="C41">
            <v>8.2733853891481506E-4</v>
          </cell>
          <cell r="D41">
            <v>1.2913978519516404E-3</v>
          </cell>
          <cell r="E41">
            <v>5.5729114230639511E-2</v>
          </cell>
          <cell r="F41">
            <v>0.11284814494943357</v>
          </cell>
        </row>
        <row r="42">
          <cell r="C42">
            <v>9.500683748240946E-4</v>
          </cell>
          <cell r="D42">
            <v>1.5578607311559618E-3</v>
          </cell>
          <cell r="E42">
            <v>6.1364917954639712E-2</v>
          </cell>
          <cell r="F42">
            <v>0.13323143960216058</v>
          </cell>
        </row>
        <row r="43">
          <cell r="C43">
            <v>1.0854314207053035E-3</v>
          </cell>
          <cell r="D43">
            <v>1.8728528767944085E-3</v>
          </cell>
          <cell r="E43">
            <v>6.768152294060438E-2</v>
          </cell>
          <cell r="F43">
            <v>0.1574960728192232</v>
          </cell>
        </row>
        <row r="44">
          <cell r="C44">
            <v>1.2349342457611463E-3</v>
          </cell>
          <cell r="D44">
            <v>2.2455494907662895E-3</v>
          </cell>
          <cell r="E44">
            <v>7.4751412527921335E-2</v>
          </cell>
          <cell r="F44">
            <v>0.18634830698594032</v>
          </cell>
        </row>
        <row r="45">
          <cell r="C45">
            <v>1.4002444074875738E-3</v>
          </cell>
          <cell r="D45">
            <v>2.6867958195193197E-3</v>
          </cell>
          <cell r="E45">
            <v>8.2655080863213673E-2</v>
          </cell>
          <cell r="F45">
            <v>0.22062316437651489</v>
          </cell>
        </row>
        <row r="46">
          <cell r="C46">
            <v>1.5832081488169095E-3</v>
          </cell>
          <cell r="D46">
            <v>3.2094106084876676E-3</v>
          </cell>
          <cell r="E46">
            <v>9.14818706646678E-2</v>
          </cell>
          <cell r="F46">
            <v>0.26130739448417373</v>
          </cell>
        </row>
        <row r="47">
          <cell r="C47">
            <v>1.7858699458810664E-3</v>
          </cell>
          <cell r="D47">
            <v>3.8285436047645377E-3</v>
          </cell>
          <cell r="E47">
            <v>0.10133089853207836</v>
          </cell>
          <cell r="F47">
            <v>0.30956649813843479</v>
          </cell>
        </row>
        <row r="48">
          <cell r="C48">
            <v>2.0104940991473807E-3</v>
          </cell>
          <cell r="D48">
            <v>4.5620966313736494E-3</v>
          </cell>
          <cell r="E48">
            <v>0.11231207663315701</v>
          </cell>
          <cell r="F48">
            <v>0.36677651330455552</v>
          </cell>
        </row>
        <row r="49">
          <cell r="C49">
            <v>2.2595885800985771E-3</v>
          </cell>
          <cell r="D49">
            <v>5.4312194080902319E-3</v>
          </cell>
          <cell r="E49">
            <v>0.12454724047559812</v>
          </cell>
          <cell r="F49">
            <v>0.43456138835829083</v>
          </cell>
        </row>
        <row r="50">
          <cell r="C50">
            <v>2.5359313669751265E-3</v>
          </cell>
          <cell r="D50">
            <v>6.4608932279910415E-3</v>
          </cell>
          <cell r="E50">
            <v>0.13817139343827453</v>
          </cell>
          <cell r="F50">
            <v>0.51483690995040432</v>
          </cell>
        </row>
        <row r="51">
          <cell r="C51">
            <v>2.8425995265589153E-3</v>
          </cell>
          <cell r="D51">
            <v>7.6806178634352103E-3</v>
          </cell>
          <cell r="E51">
            <v>0.15333407979189428</v>
          </cell>
          <cell r="F51">
            <v>0.60986231772208388</v>
          </cell>
        </row>
        <row r="52">
          <cell r="C52">
            <v>3.1830013247553302E-3</v>
          </cell>
          <cell r="D52">
            <v>9.1252197255623502E-3</v>
          </cell>
          <cell r="E52">
            <v>0.17020089909820732</v>
          </cell>
          <cell r="F52">
            <v>0.7223009310635693</v>
          </cell>
        </row>
        <row r="53">
          <cell r="C53">
            <v>3.5609116770494707E-3</v>
          </cell>
          <cell r="D53">
            <v>1.0835802402428587E-2</v>
          </cell>
          <cell r="E53">
            <v>0.18895517614707005</v>
          </cell>
          <cell r="F53">
            <v>0.85529133843311778</v>
          </cell>
        </row>
        <row r="54">
          <cell r="C54">
            <v>3.9805112810152527E-3</v>
          </cell>
          <cell r="D54">
            <v>1.2860864328093021E-2</v>
          </cell>
          <cell r="E54">
            <v>0.2097998019828908</v>
          </cell>
          <cell r="F54">
            <v>1.0125309628322161</v>
          </cell>
        </row>
        <row r="55">
          <cell r="C55">
            <v>4.4464298072103879E-3</v>
          </cell>
          <cell r="E55">
            <v>0.23295926309756743</v>
          </cell>
        </row>
        <row r="56">
          <cell r="C56">
            <v>4.9637935622876541E-3</v>
          </cell>
          <cell r="E56">
            <v>0.25868187753863287</v>
          </cell>
        </row>
        <row r="57">
          <cell r="C57">
            <v>5.5382780793126569E-3</v>
          </cell>
          <cell r="E57">
            <v>0.28724225851250113</v>
          </cell>
        </row>
        <row r="58">
          <cell r="C58">
            <v>6.1761661354495243E-3</v>
          </cell>
          <cell r="E58">
            <v>0.31894402806843342</v>
          </cell>
        </row>
        <row r="59">
          <cell r="C59">
            <v>6.8844117467403258E-3</v>
          </cell>
          <cell r="E59">
            <v>0.35412280564540044</v>
          </cell>
        </row>
        <row r="60">
          <cell r="C60">
            <v>7.6707107440785469E-3</v>
          </cell>
          <cell r="E60">
            <v>0.3931494986691102</v>
          </cell>
        </row>
        <row r="61">
          <cell r="C61">
            <v>8.54357859411751E-3</v>
          </cell>
          <cell r="E61">
            <v>0.43643392501948114</v>
          </cell>
        </row>
        <row r="62">
          <cell r="C62">
            <v>9.512436194259493E-3</v>
          </cell>
          <cell r="E62">
            <v>0.48442880007099109</v>
          </cell>
        </row>
        <row r="63">
          <cell r="C63">
            <v>1.0587704442584323E-2</v>
          </cell>
          <cell r="E63">
            <v>0.53763412416241463</v>
          </cell>
        </row>
        <row r="64">
          <cell r="C64">
            <v>1.1780908462192225E-2</v>
          </cell>
          <cell r="E64">
            <v>0.59660200980395039</v>
          </cell>
        </row>
        <row r="65">
          <cell r="C65">
            <v>1.3104792445603402E-2</v>
          </cell>
          <cell r="E65">
            <v>0.66194199170558776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1"/>
    </sheetNames>
    <sheetDataSet>
      <sheetData sheetId="0">
        <row r="28">
          <cell r="C28" t="str">
            <v>Before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C31">
            <v>8.9644081144344754E-5</v>
          </cell>
          <cell r="D31">
            <v>7.2875615791779679E-5</v>
          </cell>
          <cell r="E31">
            <v>4.4822040572172338E-2</v>
          </cell>
          <cell r="F31">
            <v>3.6437807895889809E-2</v>
          </cell>
        </row>
        <row r="32">
          <cell r="C32">
            <v>1.8679722934408774E-4</v>
          </cell>
          <cell r="D32">
            <v>1.6072326419718571E-4</v>
          </cell>
          <cell r="E32">
            <v>4.8576574099871449E-2</v>
          </cell>
          <cell r="F32">
            <v>4.3923824202702973E-2</v>
          </cell>
        </row>
        <row r="33">
          <cell r="C33">
            <v>2.931342996377659E-4</v>
          </cell>
          <cell r="D33">
            <v>2.7016592268454514E-4</v>
          </cell>
          <cell r="E33">
            <v>5.316853514683903E-2</v>
          </cell>
          <cell r="F33">
            <v>5.4721329243679666E-2</v>
          </cell>
        </row>
        <row r="34">
          <cell r="C34">
            <v>4.105471580020711E-4</v>
          </cell>
          <cell r="D34">
            <v>4.0986994399077004E-4</v>
          </cell>
          <cell r="E34">
            <v>5.8706429182152547E-2</v>
          </cell>
          <cell r="F34">
            <v>6.985201065311239E-2</v>
          </cell>
        </row>
        <row r="35">
          <cell r="C35">
            <v>5.4118051220654328E-4</v>
          </cell>
          <cell r="D35">
            <v>5.9126623765833693E-4</v>
          </cell>
          <cell r="E35">
            <v>6.5316677102236029E-2</v>
          </cell>
          <cell r="F35">
            <v>9.0698146833783369E-2</v>
          </cell>
        </row>
        <row r="36">
          <cell r="C36">
            <v>6.8747279770101479E-4</v>
          </cell>
          <cell r="D36">
            <v>8.2950815653899104E-4</v>
          </cell>
          <cell r="E36">
            <v>7.3146142747235687E-2</v>
          </cell>
          <cell r="F36">
            <v>0.11912095944032695</v>
          </cell>
        </row>
        <row r="37">
          <cell r="C37">
            <v>8.5220287658347718E-4</v>
          </cell>
          <cell r="D37">
            <v>1.1447452594221435E-3</v>
          </cell>
          <cell r="E37">
            <v>8.2365039441231122E-2</v>
          </cell>
          <cell r="F37">
            <v>0.15761855144157608</v>
          </cell>
        </row>
        <row r="38">
          <cell r="C38">
            <v>1.0385434145537672E-3</v>
          </cell>
          <cell r="D38">
            <v>1.563818027282644E-3</v>
          </cell>
          <cell r="E38">
            <v>9.3170268985144952E-2</v>
          </cell>
          <cell r="F38">
            <v>0.20953638393025012</v>
          </cell>
        </row>
        <row r="39">
          <cell r="C39">
            <v>1.2501219228300616E-3</v>
          </cell>
          <cell r="D39">
            <v>2.1225129656291405E-3</v>
          </cell>
          <cell r="E39">
            <v>0.10578925413814708</v>
          </cell>
          <cell r="F39">
            <v>0.27934746917324793</v>
          </cell>
        </row>
        <row r="40">
          <cell r="C40">
            <v>1.4910905913841734E-3</v>
          </cell>
          <cell r="D40">
            <v>2.8685630513732344E-3</v>
          </cell>
          <cell r="E40">
            <v>0.12048433427705582</v>
          </cell>
          <cell r="F40">
            <v>0.37302504287204663</v>
          </cell>
        </row>
        <row r="41">
          <cell r="C41">
            <v>1.7662061989178065E-3</v>
          </cell>
          <cell r="D41">
            <v>3.8656387720245721E-3</v>
          </cell>
          <cell r="E41">
            <v>0.13755780376681639</v>
          </cell>
          <cell r="F41">
            <v>0.49853786032566838</v>
          </cell>
        </row>
        <row r="42">
          <cell r="C42">
            <v>2.0809215664593247E-3</v>
          </cell>
          <cell r="D42">
            <v>5.1986547959174271E-3</v>
          </cell>
          <cell r="E42">
            <v>0.15735768377075895</v>
          </cell>
          <cell r="F42">
            <v>0.66650801194642684</v>
          </cell>
        </row>
        <row r="43">
          <cell r="C43">
            <v>2.4414902283808769E-3</v>
          </cell>
          <cell r="D43">
            <v>6.9808228499825837E-3</v>
          </cell>
          <cell r="E43">
            <v>0.18028433096077595</v>
          </cell>
          <cell r="F43">
            <v>0.8910840270325775</v>
          </cell>
        </row>
        <row r="44">
          <cell r="C44">
            <v>2.8550862305068902E-3</v>
          </cell>
          <cell r="D44">
            <v>9.3630208939409088E-3</v>
          </cell>
          <cell r="E44">
            <v>0.2067980010630065</v>
          </cell>
          <cell r="F44">
            <v>1.1910990219791615</v>
          </cell>
        </row>
        <row r="45">
          <cell r="C45">
            <v>3.3299412337665949E-3</v>
          </cell>
          <cell r="D45">
            <v>1.2546232999805063E-2</v>
          </cell>
          <cell r="E45">
            <v>0.23742750162985216</v>
          </cell>
          <cell r="F45">
            <v>1.5916060529320755</v>
          </cell>
        </row>
        <row r="46">
          <cell r="C46">
            <v>3.8755014080292449E-3</v>
          </cell>
          <cell r="E46">
            <v>0.27278008713132473</v>
          </cell>
        </row>
        <row r="47">
          <cell r="C47">
            <v>4.5026069494492763E-3</v>
          </cell>
          <cell r="E47">
            <v>0.31355277071001542</v>
          </cell>
        </row>
        <row r="48">
          <cell r="C48">
            <v>5.223697451622984E-3</v>
          </cell>
          <cell r="E48">
            <v>0.36054525108685354</v>
          </cell>
        </row>
        <row r="49">
          <cell r="C49">
            <v>6.0530468126758713E-3</v>
          </cell>
          <cell r="E49">
            <v>0.4146746805264433</v>
          </cell>
        </row>
        <row r="50">
          <cell r="C50">
            <v>7.0070318744946038E-3</v>
          </cell>
          <cell r="E50">
            <v>0.47699253090936583</v>
          </cell>
        </row>
        <row r="51">
          <cell r="C51">
            <v>8.1044395751154411E-3</v>
          </cell>
          <cell r="E51">
            <v>0.54870385031041813</v>
          </cell>
        </row>
        <row r="52">
          <cell r="C52">
            <v>9.3668180603283316E-3</v>
          </cell>
          <cell r="E52">
            <v>0.63118924260644471</v>
          </cell>
        </row>
        <row r="53">
          <cell r="C53">
            <v>1.0818877956667779E-2</v>
          </cell>
          <cell r="E53">
            <v>0.7260299481697231</v>
          </cell>
        </row>
        <row r="54">
          <cell r="C54">
            <v>1.2488950867385414E-2</v>
          </cell>
          <cell r="E54">
            <v>0.83503645535881665</v>
          </cell>
        </row>
        <row r="55">
          <cell r="C55">
            <v>1.4409513129602631E-2</v>
          </cell>
          <cell r="E55">
            <v>0.9602811311086078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1"/>
    </sheetNames>
    <sheetDataSet>
      <sheetData sheetId="0">
        <row r="28">
          <cell r="C28" t="str">
            <v>Before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C31">
            <v>5.6312480082357154E-5</v>
          </cell>
          <cell r="D31">
            <v>7.8676003855909505E-5</v>
          </cell>
          <cell r="E31">
            <v>2.8156240041178553E-2</v>
          </cell>
          <cell r="F31">
            <v>3.9338001927954717E-2</v>
          </cell>
        </row>
        <row r="32">
          <cell r="C32">
            <v>1.1651267795754258E-4</v>
          </cell>
          <cell r="D32">
            <v>1.6454095615002818E-4</v>
          </cell>
          <cell r="E32">
            <v>3.0100098937592683E-2</v>
          </cell>
          <cell r="F32">
            <v>4.2932476147059299E-2</v>
          </cell>
        </row>
        <row r="33">
          <cell r="C33">
            <v>1.8134851519090362E-4</v>
          </cell>
          <cell r="D33">
            <v>2.5930888547217397E-4</v>
          </cell>
          <cell r="E33">
            <v>3.2417918616680495E-2</v>
          </cell>
          <cell r="F33">
            <v>4.738396466107285E-2</v>
          </cell>
        </row>
        <row r="34">
          <cell r="C34">
            <v>2.5164780601113508E-4</v>
          </cell>
          <cell r="D34">
            <v>3.6493586094759836E-4</v>
          </cell>
          <cell r="E34">
            <v>3.5149645410115699E-2</v>
          </cell>
          <cell r="F34">
            <v>5.2813487737712148E-2</v>
          </cell>
        </row>
        <row r="35">
          <cell r="C35">
            <v>3.2832946301332726E-4</v>
          </cell>
          <cell r="D35">
            <v>4.8366300952424539E-4</v>
          </cell>
          <cell r="E35">
            <v>3.8340828501096054E-2</v>
          </cell>
          <cell r="F35">
            <v>5.9363574288323465E-2</v>
          </cell>
        </row>
        <row r="36">
          <cell r="C36">
            <v>4.1241600893324621E-4</v>
          </cell>
          <cell r="D36">
            <v>6.1806613819659134E-4</v>
          </cell>
          <cell r="E36">
            <v>4.2043272959959438E-2</v>
          </cell>
          <cell r="F36">
            <v>6.7201564336172914E-2</v>
          </cell>
        </row>
        <row r="37">
          <cell r="C37">
            <v>5.0504755893977966E-4</v>
          </cell>
          <cell r="D37">
            <v>7.7111303259451034E-4</v>
          </cell>
          <cell r="E37">
            <v>4.6315775003266689E-2</v>
          </cell>
          <cell r="F37">
            <v>7.6523447198959441E-2</v>
          </cell>
        </row>
        <row r="38">
          <cell r="C38">
            <v>6.0749745702557865E-4</v>
          </cell>
          <cell r="D38">
            <v>9.462296677651749E-4</v>
          </cell>
          <cell r="E38">
            <v>5.1224949042899447E-2</v>
          </cell>
          <cell r="F38">
            <v>8.7558317585332196E-2</v>
          </cell>
        </row>
        <row r="39">
          <cell r="C39">
            <v>7.2118977147572901E-4</v>
          </cell>
          <cell r="D39">
            <v>1.1473767567864951E-3</v>
          </cell>
          <cell r="E39">
            <v>5.6846157225075133E-2</v>
          </cell>
          <cell r="F39">
            <v>0.10057354451066002</v>
          </cell>
        </row>
        <row r="40">
          <cell r="C40">
            <v>8.4771887831734606E-4</v>
          </cell>
          <cell r="D40">
            <v>1.3791382818830592E-3</v>
          </cell>
          <cell r="E40">
            <v>6.3264553420808473E-2</v>
          </cell>
          <cell r="F40">
            <v>0.11588076254828196</v>
          </cell>
        </row>
        <row r="41">
          <cell r="C41">
            <v>9.8887138838485216E-4</v>
          </cell>
          <cell r="D41">
            <v>1.6468239053483184E-3</v>
          </cell>
          <cell r="E41">
            <v>7.0576255033752991E-2</v>
          </cell>
          <cell r="F41">
            <v>0.13384281173262946</v>
          </cell>
        </row>
        <row r="42">
          <cell r="C42">
            <v>1.1466507034939991E-3</v>
          </cell>
          <cell r="D42">
            <v>1.9565874488380523E-3</v>
          </cell>
          <cell r="E42">
            <v>7.8889657554573389E-2</v>
          </cell>
          <cell r="F42">
            <v>0.15488177174486681</v>
          </cell>
        </row>
        <row r="43">
          <cell r="C43">
            <v>1.3233045205556877E-3</v>
          </cell>
          <cell r="D43">
            <v>2.3155639652625596E-3</v>
          </cell>
          <cell r="E43">
            <v>8.8326908530844239E-2</v>
          </cell>
          <cell r="F43">
            <v>0.1794882582122535</v>
          </cell>
        </row>
        <row r="44">
          <cell r="C44">
            <v>1.5213556396711445E-3</v>
          </cell>
          <cell r="D44">
            <v>2.7320283141934873E-3</v>
          </cell>
          <cell r="E44">
            <v>9.9025559557728279E-2</v>
          </cell>
          <cell r="F44">
            <v>0.20823217446546363</v>
          </cell>
        </row>
        <row r="45">
          <cell r="C45">
            <v>1.743636473769487E-3</v>
          </cell>
          <cell r="D45">
            <v>3.2155785970164608E-3</v>
          </cell>
          <cell r="E45">
            <v>0.11114041704917116</v>
          </cell>
          <cell r="F45">
            <v>0.24177514141148654</v>
          </cell>
        </row>
        <row r="46">
          <cell r="C46">
            <v>1.9933277036623988E-3</v>
          </cell>
          <cell r="D46">
            <v>3.7773483207204101E-3</v>
          </cell>
          <cell r="E46">
            <v>0.1248456149464558</v>
          </cell>
          <cell r="F46">
            <v>0.28088486185197442</v>
          </cell>
        </row>
        <row r="47">
          <cell r="C47">
            <v>2.2740015740372755E-3</v>
          </cell>
          <cell r="D47">
            <v>4.4302517492143629E-3</v>
          </cell>
          <cell r="E47">
            <v>0.14033693518743823</v>
          </cell>
          <cell r="F47">
            <v>0.32645171424697611</v>
          </cell>
        </row>
        <row r="48">
          <cell r="C48">
            <v>2.5896703834885292E-3</v>
          </cell>
          <cell r="D48">
            <v>5.1892675798603152E-3</v>
          </cell>
          <cell r="E48">
            <v>0.15783440472562671</v>
          </cell>
          <cell r="F48">
            <v>0.37950791532297579</v>
          </cell>
        </row>
        <row r="49">
          <cell r="C49">
            <v>2.9448407858611654E-3</v>
          </cell>
          <cell r="D49">
            <v>6.0717668636368193E-3</v>
          </cell>
          <cell r="E49">
            <v>0.17758520118631796</v>
          </cell>
          <cell r="F49">
            <v>0.44124964188825166</v>
          </cell>
        </row>
        <row r="50">
          <cell r="C50">
            <v>3.344574591689234E-3</v>
          </cell>
          <cell r="D50">
            <v>7.0978919850439694E-3</v>
          </cell>
          <cell r="E50">
            <v>0.19986690291403408</v>
          </cell>
          <cell r="F50">
            <v>0.51306256070357459</v>
          </cell>
        </row>
        <row r="51">
          <cell r="C51">
            <v>3.7945568381730515E-3</v>
          </cell>
          <cell r="D51">
            <v>8.2909945497554247E-3</v>
          </cell>
          <cell r="E51">
            <v>0.22499112324190856</v>
          </cell>
          <cell r="F51">
            <v>0.59655128235572707</v>
          </cell>
        </row>
        <row r="52">
          <cell r="C52">
            <v>4.3011719848618834E-3</v>
          </cell>
          <cell r="D52">
            <v>9.67814121384219E-3</v>
          </cell>
          <cell r="E52">
            <v>0.25330757334441567</v>
          </cell>
          <cell r="F52">
            <v>0.69357333204338201</v>
          </cell>
        </row>
        <row r="53">
          <cell r="C53">
            <v>4.8715891910010786E-3</v>
          </cell>
          <cell r="D53">
            <v>1.1290697850718104E-2</v>
          </cell>
          <cell r="E53">
            <v>0.28520860306959739</v>
          </cell>
          <cell r="F53">
            <v>0.80627831843795639</v>
          </cell>
        </row>
        <row r="54">
          <cell r="C54">
            <v>5.5138577404825638E-3</v>
          </cell>
          <cell r="D54">
            <v>1.3165004016628196E-2</v>
          </cell>
          <cell r="E54">
            <v>0.3211342747407423</v>
          </cell>
          <cell r="F54">
            <v>0.93715308295504529</v>
          </cell>
        </row>
        <row r="55">
          <cell r="C55">
            <v>6.2370138027448199E-3</v>
          </cell>
          <cell r="E55">
            <v>0.36157803113112774</v>
          </cell>
        </row>
        <row r="56">
          <cell r="C56">
            <v>7.0511998541779013E-3</v>
          </cell>
          <cell r="E56">
            <v>0.40709302571654038</v>
          </cell>
        </row>
        <row r="57">
          <cell r="C57">
            <v>7.9677982361239363E-3</v>
          </cell>
          <cell r="E57">
            <v>0.45829919097301708</v>
          </cell>
        </row>
        <row r="58">
          <cell r="C58">
            <v>8.9995804941129867E-3</v>
          </cell>
          <cell r="E58">
            <v>0.51589112899452472</v>
          </cell>
        </row>
        <row r="59">
          <cell r="C59">
            <v>1.0160874330408843E-2</v>
          </cell>
          <cell r="E59">
            <v>0.58064691814792757</v>
          </cell>
        </row>
        <row r="60">
          <cell r="C60">
            <v>1.1467750210331978E-2</v>
          </cell>
          <cell r="E60">
            <v>0.65343793996156696</v>
          </cell>
        </row>
        <row r="61">
          <cell r="C61">
            <v>1.2938229894473501E-2</v>
          </cell>
          <cell r="E61">
            <v>0.73523984207076098</v>
          </cell>
        </row>
        <row r="62">
          <cell r="C62">
            <v>1.4592519426356096E-2</v>
          </cell>
          <cell r="E62">
            <v>0.82714476594129682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1"/>
    </sheetNames>
    <sheetDataSet>
      <sheetData sheetId="0">
        <row r="28">
          <cell r="C28" t="str">
            <v>Before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C31">
            <v>6.1633155590296761E-5</v>
          </cell>
          <cell r="D31">
            <v>8.6425272594764727E-5</v>
          </cell>
          <cell r="E31">
            <v>3.0816577795148355E-2</v>
          </cell>
          <cell r="F31">
            <v>4.3212636297382326E-2</v>
          </cell>
        </row>
        <row r="32">
          <cell r="C32">
            <v>1.2692483994513197E-4</v>
          </cell>
          <cell r="D32">
            <v>1.7982555396240692E-4</v>
          </cell>
          <cell r="E32">
            <v>3.2645842177417575E-2</v>
          </cell>
          <cell r="F32">
            <v>4.6700140683821056E-2</v>
          </cell>
        </row>
        <row r="33">
          <cell r="C33">
            <v>1.9650259491153934E-4</v>
          </cell>
          <cell r="D33">
            <v>2.8171284112091228E-4</v>
          </cell>
          <cell r="E33">
            <v>3.4788877483203653E-2</v>
          </cell>
          <cell r="F33">
            <v>5.0943643579252636E-2</v>
          </cell>
        </row>
        <row r="34">
          <cell r="C34">
            <v>2.7105150643637658E-4</v>
          </cell>
          <cell r="D34">
            <v>3.9378793056344058E-4</v>
          </cell>
          <cell r="E34">
            <v>3.7274455762418585E-2</v>
          </cell>
          <cell r="F34">
            <v>5.6037544721264106E-2</v>
          </cell>
        </row>
        <row r="35">
          <cell r="C35">
            <v>3.5132131749904998E-4</v>
          </cell>
          <cell r="D35">
            <v>5.1797062527607796E-4</v>
          </cell>
          <cell r="E35">
            <v>4.0134905531336668E-2</v>
          </cell>
          <cell r="F35">
            <v>6.2091347356318632E-2</v>
          </cell>
        </row>
        <row r="36">
          <cell r="C36">
            <v>4.3813425305366213E-4</v>
          </cell>
          <cell r="D36">
            <v>6.5643405084220134E-4</v>
          </cell>
          <cell r="E36">
            <v>4.3406467777306036E-2</v>
          </cell>
          <cell r="F36">
            <v>6.923171278306163E-2</v>
          </cell>
        </row>
        <row r="37">
          <cell r="C37">
            <v>5.3239363521832167E-4</v>
          </cell>
          <cell r="D37">
            <v>8.116436764415547E-4</v>
          </cell>
          <cell r="E37">
            <v>4.7129691082329721E-2</v>
          </cell>
          <cell r="F37">
            <v>7.7604812799676612E-2</v>
          </cell>
        </row>
        <row r="38">
          <cell r="C38">
            <v>6.3509337475510953E-4</v>
          </cell>
          <cell r="D38">
            <v>9.8640171752463327E-4</v>
          </cell>
          <cell r="E38">
            <v>5.1349869768393883E-2</v>
          </cell>
          <cell r="F38">
            <v>8.7379020541539204E-2</v>
          </cell>
        </row>
        <row r="39">
          <cell r="C39">
            <v>7.473284334905436E-4</v>
          </cell>
          <cell r="D39">
            <v>1.1838976890444163E-3</v>
          </cell>
          <cell r="E39">
            <v>5.6117529367716988E-2</v>
          </cell>
          <cell r="F39">
            <v>9.8747985759891424E-2</v>
          </cell>
        </row>
        <row r="40">
          <cell r="C40">
            <v>8.7030636181078061E-4</v>
          </cell>
          <cell r="D40">
            <v>1.4077659828334644E-3</v>
          </cell>
          <cell r="E40">
            <v>6.1488964160118446E-2</v>
          </cell>
          <cell r="F40">
            <v>0.11193414689452395</v>
          </cell>
        </row>
        <row r="41">
          <cell r="C41">
            <v>1.0053600258131583E-3</v>
          </cell>
          <cell r="D41">
            <v>1.662151461694945E-3</v>
          </cell>
          <cell r="E41">
            <v>6.7526832001188794E-2</v>
          </cell>
          <cell r="F41">
            <v>0.12719273943074019</v>
          </cell>
        </row>
        <row r="42">
          <cell r="C42">
            <v>1.1539616501992111E-3</v>
          </cell>
          <cell r="D42">
            <v>1.9517841979207356E-3</v>
          </cell>
          <cell r="E42">
            <v>7.4300812193026325E-2</v>
          </cell>
          <cell r="F42">
            <v>0.14481636811289517</v>
          </cell>
        </row>
        <row r="43">
          <cell r="C43">
            <v>1.3177383156560674E-3</v>
          </cell>
          <cell r="D43">
            <v>2.2820646373953686E-3</v>
          </cell>
          <cell r="E43">
            <v>8.188833272842809E-2</v>
          </cell>
          <cell r="F43">
            <v>0.16514021973731635</v>
          </cell>
        </row>
        <row r="44">
          <cell r="C44">
            <v>1.4984890634051576E-3</v>
          </cell>
          <cell r="D44">
            <v>2.6591606446074697E-3</v>
          </cell>
          <cell r="E44">
            <v>9.0375373874545029E-2</v>
          </cell>
          <cell r="F44">
            <v>0.18854800360605037</v>
          </cell>
        </row>
        <row r="45">
          <cell r="C45">
            <v>1.6982037749219898E-3</v>
          </cell>
          <cell r="D45">
            <v>3.0901180815015501E-3</v>
          </cell>
          <cell r="E45">
            <v>9.9857355758415978E-2</v>
          </cell>
          <cell r="F45">
            <v>0.21547871844704003</v>
          </cell>
        </row>
        <row r="46">
          <cell r="C46">
            <v>1.9190840116828181E-3</v>
          </cell>
          <cell r="D46">
            <v>3.5829867972488562E-3</v>
          </cell>
          <cell r="E46">
            <v>0.11044011838041405</v>
          </cell>
          <cell r="F46">
            <v>0.24643435787365281</v>
          </cell>
        </row>
        <row r="47">
          <cell r="C47">
            <v>2.1635660183203956E-3</v>
          </cell>
          <cell r="D47">
            <v>4.1469641601826488E-3</v>
          </cell>
          <cell r="E47">
            <v>0.12224100331878864</v>
          </cell>
          <cell r="F47">
            <v>0.28198868146689604</v>
          </cell>
        </row>
        <row r="48">
          <cell r="C48">
            <v>2.4343461129327591E-3</v>
          </cell>
          <cell r="D48">
            <v>4.7925585512684759E-3</v>
          </cell>
          <cell r="E48">
            <v>0.13539004730618162</v>
          </cell>
          <cell r="F48">
            <v>0.32279719554291325</v>
          </cell>
        </row>
        <row r="49">
          <cell r="C49">
            <v>2.7344087106625672E-3</v>
          </cell>
          <cell r="D49">
            <v>5.5317755650096069E-3</v>
          </cell>
          <cell r="E49">
            <v>0.15003129886490396</v>
          </cell>
          <cell r="F49">
            <v>0.36960850687056518</v>
          </cell>
        </row>
        <row r="50">
          <cell r="C50">
            <v>3.0670572512426532E-3</v>
          </cell>
          <cell r="D50">
            <v>6.3783300336398892E-3</v>
          </cell>
          <cell r="E50">
            <v>0.16632427029004282</v>
          </cell>
          <cell r="F50">
            <v>0.4232772343151408</v>
          </cell>
        </row>
        <row r="51">
          <cell r="C51">
            <v>3.4359483281976269E-3</v>
          </cell>
          <cell r="D51">
            <v>7.3478874094952251E-3</v>
          </cell>
          <cell r="E51">
            <v>0.18444553847748671</v>
          </cell>
          <cell r="F51">
            <v>0.48477868792766748</v>
          </cell>
        </row>
        <row r="52">
          <cell r="C52">
            <v>3.8451293470322168E-3</v>
          </cell>
          <cell r="D52">
            <v>8.4583385149693321E-3</v>
          </cell>
          <cell r="E52">
            <v>0.20459050941729479</v>
          </cell>
          <cell r="F52">
            <v>0.55522555273705299</v>
          </cell>
        </row>
        <row r="53">
          <cell r="C53">
            <v>4.2990800722774959E-3</v>
          </cell>
          <cell r="D53">
            <v>9.7301122066584169E-3</v>
          </cell>
          <cell r="E53">
            <v>0.22697536262263932</v>
          </cell>
          <cell r="F53">
            <v>0.6358868458445418</v>
          </cell>
        </row>
        <row r="54">
          <cell r="C54">
            <v>4.8027584589822089E-3</v>
          </cell>
          <cell r="D54">
            <v>1.1186531108309496E-2</v>
          </cell>
          <cell r="E54">
            <v>0.25183919335235627</v>
          </cell>
          <cell r="F54">
            <v>0.72820945082553912</v>
          </cell>
        </row>
        <row r="55">
          <cell r="C55">
            <v>5.3616512034304429E-3</v>
          </cell>
          <cell r="D55">
            <v>1.2854216255173396E-2</v>
          </cell>
          <cell r="E55">
            <v>0.27944637222411678</v>
          </cell>
          <cell r="F55">
            <v>0.83384257343194923</v>
          </cell>
        </row>
        <row r="56">
          <cell r="C56">
            <v>5.9818294908686141E-3</v>
          </cell>
          <cell r="E56">
            <v>0.31008914371908536</v>
          </cell>
        </row>
        <row r="57">
          <cell r="C57">
            <v>6.6700104651955285E-3</v>
          </cell>
          <cell r="E57">
            <v>0.34409048716345686</v>
          </cell>
        </row>
        <row r="58">
          <cell r="C58">
            <v>7.433624997302885E-3</v>
          </cell>
          <cell r="E58">
            <v>0.38180726605367793</v>
          </cell>
        </row>
        <row r="59">
          <cell r="C59">
            <v>8.2808923854813237E-3</v>
          </cell>
          <cell r="E59">
            <v>0.42363369408921897</v>
          </cell>
        </row>
        <row r="60">
          <cell r="C60">
            <v>9.2209026834989844E-3</v>
          </cell>
          <cell r="E60">
            <v>0.47000514900882995</v>
          </cell>
        </row>
        <row r="61">
          <cell r="C61">
            <v>1.0263707420130072E-2</v>
          </cell>
          <cell r="E61">
            <v>0.52140236831554321</v>
          </cell>
        </row>
        <row r="62">
          <cell r="C62">
            <v>1.1420419548620579E-2</v>
          </cell>
          <cell r="E62">
            <v>0.5783560642452531</v>
          </cell>
        </row>
        <row r="63">
          <cell r="C63">
            <v>1.2703323546440449E-2</v>
          </cell>
          <cell r="E63">
            <v>0.64145199890993454</v>
          </cell>
        </row>
        <row r="64">
          <cell r="C64">
            <v>1.412599667535429E-2</v>
          </cell>
          <cell r="E64">
            <v>0.71133656445691973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1"/>
    </sheetNames>
    <sheetDataSet>
      <sheetData sheetId="0">
        <row r="28">
          <cell r="C28" t="str">
            <v>Before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C31">
            <v>6.4237792850722496E-5</v>
          </cell>
          <cell r="D31">
            <v>2.5622728541899143E-4</v>
          </cell>
          <cell r="E31">
            <v>3.2118896425361219E-2</v>
          </cell>
          <cell r="F31">
            <v>0.1281136427094956</v>
          </cell>
        </row>
        <row r="32">
          <cell r="C32">
            <v>1.3576721369025285E-4</v>
          </cell>
          <cell r="D32">
            <v>5.4809034440972241E-4</v>
          </cell>
          <cell r="E32">
            <v>3.5764710419765144E-2</v>
          </cell>
          <cell r="F32">
            <v>0.14593152949536536</v>
          </cell>
        </row>
        <row r="33">
          <cell r="C33">
            <v>2.166415504482912E-4</v>
          </cell>
          <cell r="D33">
            <v>8.8731137308854552E-4</v>
          </cell>
          <cell r="E33">
            <v>4.0437168379019138E-2</v>
          </cell>
          <cell r="F33">
            <v>0.16961051433941141</v>
          </cell>
        </row>
        <row r="34">
          <cell r="C34">
            <v>3.0927276769556069E-4</v>
          </cell>
          <cell r="D34">
            <v>1.2881057020475378E-3</v>
          </cell>
          <cell r="E34">
            <v>4.6315608623634708E-2</v>
          </cell>
          <cell r="F34">
            <v>0.20039716447949599</v>
          </cell>
        </row>
        <row r="35">
          <cell r="C35">
            <v>4.1650813338994238E-4</v>
          </cell>
          <cell r="D35">
            <v>1.7678145714146594E-3</v>
          </cell>
          <cell r="E35">
            <v>5.3617682847190797E-2</v>
          </cell>
          <cell r="F35">
            <v>0.2398544346835606</v>
          </cell>
        </row>
        <row r="36">
          <cell r="C36">
            <v>5.4172133486814211E-4</v>
          </cell>
          <cell r="D36">
            <v>2.3476828235832617E-3</v>
          </cell>
          <cell r="E36">
            <v>6.2606600739099807E-2</v>
          </cell>
          <cell r="F36">
            <v>0.28993412608430086</v>
          </cell>
        </row>
        <row r="37">
          <cell r="C37">
            <v>6.8892094200558355E-4</v>
          </cell>
          <cell r="D37">
            <v>3.053815805467174E-3</v>
          </cell>
          <cell r="E37">
            <v>7.3599803568720645E-2</v>
          </cell>
          <cell r="F37">
            <v>0.3530664909419558</v>
          </cell>
        </row>
        <row r="38">
          <cell r="C38">
            <v>8.6287961545440054E-4</v>
          </cell>
          <cell r="D38">
            <v>3.9183576152994355E-3</v>
          </cell>
          <cell r="E38">
            <v>8.6979336724408413E-2</v>
          </cell>
          <cell r="F38">
            <v>0.43227090491613035</v>
          </cell>
        </row>
        <row r="39">
          <cell r="C39">
            <v>1.0692881001475741E-3</v>
          </cell>
          <cell r="D39">
            <v>4.980942465521547E-3</v>
          </cell>
          <cell r="E39">
            <v>0.10320424234658669</v>
          </cell>
          <cell r="F39">
            <v>0.53129242511105534</v>
          </cell>
        </row>
        <row r="40">
          <cell r="C40">
            <v>1.3149388077674975E-3</v>
          </cell>
          <cell r="D40">
            <v>6.2904827659761428E-3</v>
          </cell>
          <cell r="E40">
            <v>0.1228253538099616</v>
          </cell>
          <cell r="F40">
            <v>0.65477015022729734</v>
          </cell>
        </row>
        <row r="41">
          <cell r="C41">
            <v>1.607944699038185E-3</v>
          </cell>
          <cell r="D41">
            <v>7.9073720528680166E-3</v>
          </cell>
          <cell r="E41">
            <v>0.14650294563534363</v>
          </cell>
          <cell r="F41">
            <v>0.80844464344593614</v>
          </cell>
        </row>
        <row r="42">
          <cell r="C42">
            <v>1.958000254035557E-3</v>
          </cell>
          <cell r="D42">
            <v>9.9061987006160077E-3</v>
          </cell>
          <cell r="E42">
            <v>0.17502777749868584</v>
          </cell>
          <cell r="F42">
            <v>0.99941332387399462</v>
          </cell>
        </row>
        <row r="43">
          <cell r="C43">
            <v>2.3766925975882095E-3</v>
          </cell>
          <cell r="D43">
            <v>1.2379088190940241E-2</v>
          </cell>
          <cell r="E43">
            <v>0.20934617177632606</v>
          </cell>
          <cell r="F43">
            <v>1.2364447451621154</v>
          </cell>
        </row>
        <row r="44">
          <cell r="C44">
            <v>2.877872364345827E-3</v>
          </cell>
          <cell r="D44">
            <v>1.543981847397608E-2</v>
          </cell>
          <cell r="E44">
            <v>0.25058988337880855</v>
          </cell>
          <cell r="F44">
            <v>1.530365141517918</v>
          </cell>
        </row>
        <row r="45">
          <cell r="C45">
            <v>3.478095688049544E-3</v>
          </cell>
          <cell r="E45">
            <v>0.30011166185185822</v>
          </cell>
        </row>
        <row r="46">
          <cell r="C46">
            <v>4.1971508337226423E-3</v>
          </cell>
          <cell r="E46">
            <v>0.35952757283654879</v>
          </cell>
        </row>
        <row r="47">
          <cell r="C47">
            <v>5.0586855210547239E-3</v>
          </cell>
          <cell r="E47">
            <v>0.43076734366604041</v>
          </cell>
        </row>
        <row r="48">
          <cell r="C48">
            <v>6.0909539843630161E-3</v>
          </cell>
          <cell r="E48">
            <v>0.51613423165414563</v>
          </cell>
        </row>
        <row r="49">
          <cell r="C49">
            <v>7.3277063643712257E-3</v>
          </cell>
          <cell r="E49">
            <v>0.61837619000410426</v>
          </cell>
        </row>
        <row r="50">
          <cell r="C50">
            <v>8.8092472301563255E-3</v>
          </cell>
          <cell r="E50">
            <v>0.74077043289254929</v>
          </cell>
        </row>
        <row r="51">
          <cell r="C51">
            <v>1.0583695004515626E-2</v>
          </cell>
          <cell r="E51">
            <v>0.88722388717964962</v>
          </cell>
        </row>
        <row r="52">
          <cell r="C52">
            <v>1.2708479952458615E-2</v>
          </cell>
          <cell r="E52">
            <v>1.0623924739714936</v>
          </cell>
        </row>
        <row r="53">
          <cell r="C53">
            <v>1.5252125355257702E-2</v>
          </cell>
          <cell r="E53">
            <v>1.271822701399542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4"/>
  <sheetViews>
    <sheetView tabSelected="1" workbookViewId="0">
      <selection activeCell="B33" sqref="B33"/>
    </sheetView>
  </sheetViews>
  <sheetFormatPr baseColWidth="10" defaultColWidth="8.83203125" defaultRowHeight="15" x14ac:dyDescent="0.2"/>
  <cols>
    <col min="2" max="2" width="13.83203125" customWidth="1"/>
    <col min="14" max="14" width="11.1640625" customWidth="1"/>
    <col min="34" max="34" width="13.5" customWidth="1"/>
  </cols>
  <sheetData>
    <row r="1" spans="1:44" x14ac:dyDescent="0.2">
      <c r="A1" s="3" t="s">
        <v>13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N1" t="s">
        <v>14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AH1" s="3" t="s">
        <v>12</v>
      </c>
      <c r="AJ1" s="2" t="s">
        <v>10</v>
      </c>
      <c r="AK1" s="2"/>
    </row>
    <row r="2" spans="1:44" x14ac:dyDescent="0.2">
      <c r="A2" s="3"/>
      <c r="C2">
        <v>0</v>
      </c>
      <c r="D2">
        <f>67.139*C2*C2+81.314*C2+0.0177</f>
        <v>1.77E-2</v>
      </c>
      <c r="E2">
        <f>85.916*C2*C2+47.857*C2+0.0201</f>
        <v>2.01E-2</v>
      </c>
      <c r="F2">
        <f>68.113*C2*C2+54.613*C2+0.0175</f>
        <v>1.7500000000000002E-2</v>
      </c>
      <c r="G2">
        <f>120.95*C2*C2+63.113*C2+0.0277</f>
        <v>2.7699999999999999E-2</v>
      </c>
      <c r="H2">
        <f>77.363*C2*C2+48.385*C2+0.0162</f>
        <v>1.6199999999999999E-2</v>
      </c>
      <c r="I2">
        <f>91.202*C2*C2+44.085*C2+0.0196</f>
        <v>1.9599999999999999E-2</v>
      </c>
      <c r="J2">
        <f>117.08*C2*C2+41.989*C2+0.0281</f>
        <v>2.81E-2</v>
      </c>
      <c r="K2">
        <f>AVERAGE(D2:J2)</f>
        <v>2.0985714285714292E-2</v>
      </c>
      <c r="L2">
        <f>STDEV(D2:J2)</f>
        <v>4.9032059482983486E-3</v>
      </c>
      <c r="O2">
        <v>0</v>
      </c>
      <c r="P2">
        <f>122.68*O2*O2+92.492*O2+0.0717</f>
        <v>7.17E-2</v>
      </c>
      <c r="Q2">
        <f>145.11*O2*O2+61.029*O2+0.0271</f>
        <v>2.7099999999999999E-2</v>
      </c>
      <c r="R2">
        <f>126.29*O2*O2+67.857*O2+0.0237</f>
        <v>2.3699999999999999E-2</v>
      </c>
      <c r="S2">
        <f>104.68*O2*O2+124.27*O2+0.017</f>
        <v>1.7000000000000001E-2</v>
      </c>
      <c r="T2">
        <f>83.822*O2*O2+76.557*O2+0.0156</f>
        <v>1.5599999999999999E-2</v>
      </c>
      <c r="U2">
        <f>67.071*O2*O2+71.654*O2+0.0152</f>
        <v>1.52E-2</v>
      </c>
      <c r="V2">
        <f>147.33*O2*O2+55.026*O2+0.0591</f>
        <v>5.91E-2</v>
      </c>
      <c r="W2">
        <f>AVERAGE(P2:V2)</f>
        <v>3.2771428571428569E-2</v>
      </c>
      <c r="X2">
        <f>STDEV(P2:V2)</f>
        <v>2.3005196100425826E-2</v>
      </c>
      <c r="AH2" s="3"/>
      <c r="AJ2" t="s">
        <v>11</v>
      </c>
    </row>
    <row r="3" spans="1:44" x14ac:dyDescent="0.2">
      <c r="A3" s="3"/>
      <c r="C3">
        <f>C2+0.0005</f>
        <v>5.0000000000000001E-4</v>
      </c>
      <c r="D3">
        <f t="shared" ref="D3:D32" si="0">67.139*C3*C3+81.314*C3+0.0177</f>
        <v>5.8373784749999998E-2</v>
      </c>
      <c r="E3">
        <f t="shared" ref="E3:E32" si="1">85.916*C3*C3+47.857*C3+0.0201</f>
        <v>4.4049979000000003E-2</v>
      </c>
      <c r="F3">
        <f t="shared" ref="F3:F32" si="2">68.113*C3*C3+54.613*C3+0.0175</f>
        <v>4.4823528250000001E-2</v>
      </c>
      <c r="G3">
        <f t="shared" ref="G3:G32" si="3">120.95*C3*C3+63.113*C3+0.0277</f>
        <v>5.9286737500000006E-2</v>
      </c>
      <c r="H3">
        <f t="shared" ref="H3:H32" si="4">77.363*C3*C3+48.385*C3+0.0162</f>
        <v>4.0411840749999997E-2</v>
      </c>
      <c r="I3">
        <f t="shared" ref="I3:I32" si="5">91.202*C3*C3+44.085*C3+0.0196</f>
        <v>4.1665300500000002E-2</v>
      </c>
      <c r="J3">
        <f t="shared" ref="J3:J32" si="6">117.08*C3*C3+41.989*C3+0.0281</f>
        <v>4.9123769999999997E-2</v>
      </c>
      <c r="K3">
        <f t="shared" ref="K3:K32" si="7">AVERAGE(D3:J3)</f>
        <v>4.8247848678571424E-2</v>
      </c>
      <c r="L3">
        <f t="shared" ref="L3:L32" si="8">STDEV(D3:J3)</f>
        <v>7.7377852872716237E-3</v>
      </c>
      <c r="O3">
        <f>O2+0.0005</f>
        <v>5.0000000000000001E-4</v>
      </c>
      <c r="P3">
        <f t="shared" ref="P3:P32" si="9">122.68*O3*O3+92.492*O3+0.0717</f>
        <v>0.11797667000000001</v>
      </c>
      <c r="Q3">
        <f t="shared" ref="Q3:Q32" si="10">145.11*O3*O3+61.029*O3+0.0271</f>
        <v>5.76507775E-2</v>
      </c>
      <c r="R3">
        <f t="shared" ref="R3:R32" si="11">126.29*O3*O3+67.857*O3+0.0237</f>
        <v>5.7660072499999999E-2</v>
      </c>
      <c r="S3">
        <f t="shared" ref="S3:S32" si="12">104.68*O3*O3+124.27*O3+0.017</f>
        <v>7.9161170000000003E-2</v>
      </c>
      <c r="T3">
        <f t="shared" ref="T3:T32" si="13">83.822*O3*O3+76.557*O3+0.0156</f>
        <v>5.3899455499999999E-2</v>
      </c>
      <c r="U3">
        <f t="shared" ref="U3:U32" si="14">67.071*O3*O3+71.654*O3+0.0152</f>
        <v>5.1043767749999996E-2</v>
      </c>
      <c r="V3">
        <f t="shared" ref="V3:V32" si="15">147.33*O3*O3+55.026*O3+0.0591</f>
        <v>8.6649832499999996E-2</v>
      </c>
      <c r="W3">
        <f t="shared" ref="W3:W32" si="16">AVERAGE(P3:V3)</f>
        <v>7.2005963678571414E-2</v>
      </c>
      <c r="X3">
        <f t="shared" ref="X3:X32" si="17">STDEV(P3:V3)</f>
        <v>2.4351868414797997E-2</v>
      </c>
      <c r="AH3" s="3"/>
      <c r="AI3" t="s">
        <v>0</v>
      </c>
      <c r="AJ3" t="s">
        <v>1</v>
      </c>
      <c r="AK3" t="s">
        <v>2</v>
      </c>
      <c r="AL3" t="s">
        <v>3</v>
      </c>
      <c r="AM3" t="s">
        <v>4</v>
      </c>
      <c r="AN3" t="s">
        <v>5</v>
      </c>
      <c r="AO3" t="s">
        <v>6</v>
      </c>
      <c r="AP3" t="s">
        <v>7</v>
      </c>
      <c r="AQ3" t="s">
        <v>8</v>
      </c>
      <c r="AR3" t="s">
        <v>9</v>
      </c>
    </row>
    <row r="4" spans="1:44" x14ac:dyDescent="0.2">
      <c r="A4" s="3"/>
      <c r="C4">
        <f t="shared" ref="C4:C31" si="18">C3+0.0005</f>
        <v>1E-3</v>
      </c>
      <c r="D4">
        <f t="shared" si="0"/>
        <v>9.9081138999999985E-2</v>
      </c>
      <c r="E4">
        <f t="shared" si="1"/>
        <v>6.8042916000000009E-2</v>
      </c>
      <c r="F4">
        <f t="shared" si="2"/>
        <v>7.2181113000000005E-2</v>
      </c>
      <c r="G4">
        <f t="shared" si="3"/>
        <v>9.093395E-2</v>
      </c>
      <c r="H4">
        <f t="shared" si="4"/>
        <v>6.4662363E-2</v>
      </c>
      <c r="I4">
        <f t="shared" si="5"/>
        <v>6.3776202000000004E-2</v>
      </c>
      <c r="J4">
        <f t="shared" si="6"/>
        <v>7.0206080000000004E-2</v>
      </c>
      <c r="K4">
        <f t="shared" si="7"/>
        <v>7.5554823285714293E-2</v>
      </c>
      <c r="L4">
        <f t="shared" si="8"/>
        <v>1.3807041723627924E-2</v>
      </c>
      <c r="M4" s="1"/>
      <c r="O4">
        <f t="shared" ref="O4:O20" si="19">O3+0.0005</f>
        <v>1E-3</v>
      </c>
      <c r="P4">
        <f t="shared" si="9"/>
        <v>0.16431467999999999</v>
      </c>
      <c r="Q4">
        <f t="shared" si="10"/>
        <v>8.8274110000000003E-2</v>
      </c>
      <c r="R4">
        <f t="shared" si="11"/>
        <v>9.1683290000000001E-2</v>
      </c>
      <c r="S4">
        <f t="shared" si="12"/>
        <v>0.14137468</v>
      </c>
      <c r="T4">
        <f t="shared" si="13"/>
        <v>9.2240822E-2</v>
      </c>
      <c r="U4">
        <f t="shared" si="14"/>
        <v>8.6921071000000003E-2</v>
      </c>
      <c r="V4">
        <f t="shared" si="15"/>
        <v>0.11427333000000001</v>
      </c>
      <c r="W4">
        <f t="shared" si="16"/>
        <v>0.11129742614285713</v>
      </c>
      <c r="X4">
        <f t="shared" si="17"/>
        <v>3.0540887032139512E-2</v>
      </c>
      <c r="AH4" s="3"/>
      <c r="AI4">
        <v>0</v>
      </c>
      <c r="AJ4">
        <f>P2/D2</f>
        <v>4.0508474576271185</v>
      </c>
      <c r="AK4">
        <f>Q2/E2</f>
        <v>1.3482587064676617</v>
      </c>
      <c r="AL4">
        <f>R2/F2</f>
        <v>1.3542857142857141</v>
      </c>
      <c r="AM4">
        <f>S2/G2</f>
        <v>0.61371841155234663</v>
      </c>
      <c r="AN4">
        <f>T2/H2</f>
        <v>0.96296296296296302</v>
      </c>
      <c r="AO4">
        <f>U2/I2</f>
        <v>0.77551020408163263</v>
      </c>
      <c r="AP4">
        <f>V2/J2</f>
        <v>2.1032028469750887</v>
      </c>
      <c r="AQ4">
        <f>AVERAGE(AJ4:AP4)</f>
        <v>1.6012551862789322</v>
      </c>
      <c r="AR4">
        <f>STDEV(AJ4:AP4)</f>
        <v>1.1861671824429345</v>
      </c>
    </row>
    <row r="5" spans="1:44" x14ac:dyDescent="0.2">
      <c r="A5" s="3"/>
      <c r="C5">
        <f t="shared" si="18"/>
        <v>1.5E-3</v>
      </c>
      <c r="D5">
        <f t="shared" si="0"/>
        <v>0.13982206275</v>
      </c>
      <c r="E5">
        <f t="shared" si="1"/>
        <v>9.207881100000001E-2</v>
      </c>
      <c r="F5">
        <f t="shared" si="2"/>
        <v>9.9572754250000006E-2</v>
      </c>
      <c r="G5">
        <f t="shared" si="3"/>
        <v>0.12264163750000001</v>
      </c>
      <c r="H5">
        <f t="shared" si="4"/>
        <v>8.8951566749999988E-2</v>
      </c>
      <c r="I5">
        <f t="shared" si="5"/>
        <v>8.5932704500000012E-2</v>
      </c>
      <c r="J5">
        <f t="shared" si="6"/>
        <v>9.1346929999999993E-2</v>
      </c>
      <c r="K5">
        <f t="shared" si="7"/>
        <v>0.10290663810714287</v>
      </c>
      <c r="L5">
        <f t="shared" si="8"/>
        <v>2.0400411308102776E-2</v>
      </c>
      <c r="O5">
        <f t="shared" si="19"/>
        <v>1.5E-3</v>
      </c>
      <c r="P5">
        <f t="shared" si="9"/>
        <v>0.21071403</v>
      </c>
      <c r="Q5">
        <f t="shared" si="10"/>
        <v>0.11896999750000001</v>
      </c>
      <c r="R5">
        <f t="shared" si="11"/>
        <v>0.1257696525</v>
      </c>
      <c r="S5">
        <f t="shared" si="12"/>
        <v>0.20364052999999999</v>
      </c>
      <c r="T5">
        <f t="shared" si="13"/>
        <v>0.13062409950000001</v>
      </c>
      <c r="U5">
        <f t="shared" si="14"/>
        <v>0.12283190975</v>
      </c>
      <c r="V5">
        <f t="shared" si="15"/>
        <v>0.14197049249999999</v>
      </c>
      <c r="W5">
        <f t="shared" si="16"/>
        <v>0.1506458159642857</v>
      </c>
      <c r="X5">
        <f t="shared" si="17"/>
        <v>3.9345806179598312E-2</v>
      </c>
      <c r="AH5" s="3"/>
      <c r="AI5">
        <f>AI4+0.0005</f>
        <v>5.0000000000000001E-4</v>
      </c>
      <c r="AJ5">
        <f>P3/D3</f>
        <v>2.0210556931551369</v>
      </c>
      <c r="AK5">
        <f>Q3/E3</f>
        <v>1.3087583424273594</v>
      </c>
      <c r="AL5">
        <f>R3/F3</f>
        <v>1.2863796035511774</v>
      </c>
      <c r="AM5">
        <f>S3/G3</f>
        <v>1.3352256058954162</v>
      </c>
      <c r="AN5">
        <f>T3/H3</f>
        <v>1.3337540309890488</v>
      </c>
      <c r="AO5">
        <f>U3/I3</f>
        <v>1.2250905942704049</v>
      </c>
      <c r="AP5">
        <f>V3/J3</f>
        <v>1.7639084398449061</v>
      </c>
      <c r="AQ5">
        <f t="shared" ref="AQ5:AQ34" si="20">AVERAGE(AJ5:AP5)</f>
        <v>1.4677389014476356</v>
      </c>
      <c r="AR5">
        <f t="shared" ref="AR5:AR34" si="21">STDEV(AJ5:AP5)</f>
        <v>0.30178132273930908</v>
      </c>
    </row>
    <row r="6" spans="1:44" x14ac:dyDescent="0.2">
      <c r="A6" s="3"/>
      <c r="C6">
        <f t="shared" si="18"/>
        <v>2E-3</v>
      </c>
      <c r="D6">
        <f t="shared" si="0"/>
        <v>0.18059655599999999</v>
      </c>
      <c r="E6">
        <f t="shared" si="1"/>
        <v>0.11615766399999999</v>
      </c>
      <c r="F6">
        <f t="shared" si="2"/>
        <v>0.12699845200000001</v>
      </c>
      <c r="G6">
        <f t="shared" si="3"/>
        <v>0.15440980000000001</v>
      </c>
      <c r="H6">
        <f t="shared" si="4"/>
        <v>0.113279452</v>
      </c>
      <c r="I6">
        <f t="shared" si="5"/>
        <v>0.108134808</v>
      </c>
      <c r="J6">
        <f t="shared" si="6"/>
        <v>0.11254631999999999</v>
      </c>
      <c r="K6">
        <f t="shared" si="7"/>
        <v>0.13030329314285713</v>
      </c>
      <c r="L6">
        <f t="shared" si="8"/>
        <v>2.7135830423016982E-2</v>
      </c>
      <c r="O6">
        <f t="shared" si="19"/>
        <v>2E-3</v>
      </c>
      <c r="P6">
        <f t="shared" si="9"/>
        <v>0.25717472000000002</v>
      </c>
      <c r="Q6">
        <f t="shared" si="10"/>
        <v>0.14973844000000003</v>
      </c>
      <c r="R6">
        <f t="shared" si="11"/>
        <v>0.15991916</v>
      </c>
      <c r="S6">
        <f t="shared" si="12"/>
        <v>0.26595872000000004</v>
      </c>
      <c r="T6">
        <f t="shared" si="13"/>
        <v>0.16904928799999999</v>
      </c>
      <c r="U6">
        <f t="shared" si="14"/>
        <v>0.15877628399999999</v>
      </c>
      <c r="V6">
        <f t="shared" si="15"/>
        <v>0.16974132000000003</v>
      </c>
      <c r="W6">
        <f t="shared" si="16"/>
        <v>0.19005113314285715</v>
      </c>
      <c r="X6">
        <f t="shared" si="17"/>
        <v>4.9383311768190739E-2</v>
      </c>
      <c r="AH6" s="3"/>
      <c r="AI6">
        <f t="shared" ref="AI6:AI22" si="22">AI5+0.0005</f>
        <v>1E-3</v>
      </c>
      <c r="AJ6">
        <f>P4/D4</f>
        <v>1.6583850534863152</v>
      </c>
      <c r="AK6">
        <f>Q4/E4</f>
        <v>1.2973299086711685</v>
      </c>
      <c r="AL6">
        <f>R4/F4</f>
        <v>1.2701839330186</v>
      </c>
      <c r="AM6">
        <f>S4/G4</f>
        <v>1.5546963482835618</v>
      </c>
      <c r="AN6">
        <f>T4/H4</f>
        <v>1.4264993996585</v>
      </c>
      <c r="AO6">
        <f>U4/I4</f>
        <v>1.3629076093305148</v>
      </c>
      <c r="AP6">
        <f>V4/J4</f>
        <v>1.6276842404532486</v>
      </c>
      <c r="AQ6">
        <f t="shared" si="20"/>
        <v>1.4568123561288442</v>
      </c>
      <c r="AR6">
        <f t="shared" si="21"/>
        <v>0.15780358321534929</v>
      </c>
    </row>
    <row r="7" spans="1:44" x14ac:dyDescent="0.2">
      <c r="A7" s="3"/>
      <c r="C7">
        <f t="shared" si="18"/>
        <v>2.5000000000000001E-3</v>
      </c>
      <c r="D7">
        <f t="shared" si="0"/>
        <v>0.22140461874999998</v>
      </c>
      <c r="E7">
        <f t="shared" si="1"/>
        <v>0.14027947499999999</v>
      </c>
      <c r="F7">
        <f t="shared" si="2"/>
        <v>0.15445820625000001</v>
      </c>
      <c r="G7">
        <f t="shared" si="3"/>
        <v>0.18623843749999999</v>
      </c>
      <c r="H7">
        <f t="shared" si="4"/>
        <v>0.13764601874999999</v>
      </c>
      <c r="I7">
        <f t="shared" si="5"/>
        <v>0.13038251249999999</v>
      </c>
      <c r="J7">
        <f t="shared" si="6"/>
        <v>0.13380425000000001</v>
      </c>
      <c r="K7">
        <f t="shared" si="7"/>
        <v>0.15774478839285716</v>
      </c>
      <c r="L7">
        <f t="shared" si="8"/>
        <v>3.3926648563154832E-2</v>
      </c>
      <c r="O7">
        <f t="shared" si="19"/>
        <v>2.5000000000000001E-3</v>
      </c>
      <c r="P7">
        <f t="shared" si="9"/>
        <v>0.30369675000000002</v>
      </c>
      <c r="Q7">
        <f t="shared" si="10"/>
        <v>0.1805794375</v>
      </c>
      <c r="R7">
        <f t="shared" si="11"/>
        <v>0.1941318125</v>
      </c>
      <c r="S7">
        <f t="shared" si="12"/>
        <v>0.32832925000000002</v>
      </c>
      <c r="T7">
        <f t="shared" si="13"/>
        <v>0.20751638750000001</v>
      </c>
      <c r="U7">
        <f t="shared" si="14"/>
        <v>0.19475419374999997</v>
      </c>
      <c r="V7">
        <f t="shared" si="15"/>
        <v>0.19758581250000001</v>
      </c>
      <c r="W7">
        <f t="shared" si="16"/>
        <v>0.22951337767857144</v>
      </c>
      <c r="X7">
        <f t="shared" si="17"/>
        <v>6.0035507368609804E-2</v>
      </c>
      <c r="AH7" s="3"/>
      <c r="AI7">
        <f t="shared" si="22"/>
        <v>1.5E-3</v>
      </c>
      <c r="AJ7">
        <f>P5/D5</f>
        <v>1.5070156015131453</v>
      </c>
      <c r="AK7">
        <f>Q5/E5</f>
        <v>1.2920453273446373</v>
      </c>
      <c r="AL7">
        <f>R5/F5</f>
        <v>1.2630930363162067</v>
      </c>
      <c r="AM7">
        <f>S5/G5</f>
        <v>1.6604518184128125</v>
      </c>
      <c r="AN7">
        <f>T5/H5</f>
        <v>1.4684856520528913</v>
      </c>
      <c r="AO7">
        <f>U5/I5</f>
        <v>1.4293965314451378</v>
      </c>
      <c r="AP7">
        <f>V5/J5</f>
        <v>1.5541900806080731</v>
      </c>
      <c r="AQ7">
        <f t="shared" si="20"/>
        <v>1.4535254353847005</v>
      </c>
      <c r="AR7">
        <f t="shared" si="21"/>
        <v>0.14080686101843512</v>
      </c>
    </row>
    <row r="8" spans="1:44" x14ac:dyDescent="0.2">
      <c r="A8" s="3"/>
      <c r="C8">
        <f t="shared" si="18"/>
        <v>3.0000000000000001E-3</v>
      </c>
      <c r="D8">
        <f t="shared" si="0"/>
        <v>0.26224625099999999</v>
      </c>
      <c r="E8">
        <f t="shared" si="1"/>
        <v>0.16444424400000002</v>
      </c>
      <c r="F8">
        <f t="shared" si="2"/>
        <v>0.18195201700000002</v>
      </c>
      <c r="G8">
        <f t="shared" si="3"/>
        <v>0.21812755</v>
      </c>
      <c r="H8">
        <f t="shared" si="4"/>
        <v>0.162051267</v>
      </c>
      <c r="I8">
        <f t="shared" si="5"/>
        <v>0.15267581800000002</v>
      </c>
      <c r="J8">
        <f t="shared" si="6"/>
        <v>0.15512071999999999</v>
      </c>
      <c r="K8">
        <f t="shared" si="7"/>
        <v>0.18523112385714288</v>
      </c>
      <c r="L8">
        <f t="shared" si="8"/>
        <v>4.0743387401288217E-2</v>
      </c>
      <c r="O8">
        <f t="shared" si="19"/>
        <v>3.0000000000000001E-3</v>
      </c>
      <c r="P8">
        <f t="shared" si="9"/>
        <v>0.35028011999999997</v>
      </c>
      <c r="Q8">
        <f t="shared" si="10"/>
        <v>0.21149299000000005</v>
      </c>
      <c r="R8">
        <f t="shared" si="11"/>
        <v>0.22840761000000001</v>
      </c>
      <c r="S8">
        <f t="shared" si="12"/>
        <v>0.39075211999999998</v>
      </c>
      <c r="T8">
        <f t="shared" si="13"/>
        <v>0.24602539800000001</v>
      </c>
      <c r="U8">
        <f t="shared" si="14"/>
        <v>0.23076563899999997</v>
      </c>
      <c r="V8">
        <f t="shared" si="15"/>
        <v>0.22550397</v>
      </c>
      <c r="W8">
        <f t="shared" si="16"/>
        <v>0.26903254957142858</v>
      </c>
      <c r="X8">
        <f t="shared" si="17"/>
        <v>7.1023975839543479E-2</v>
      </c>
      <c r="AH8" s="3"/>
      <c r="AI8">
        <f t="shared" si="22"/>
        <v>2E-3</v>
      </c>
      <c r="AJ8">
        <f>P6/D6</f>
        <v>1.4240289277720226</v>
      </c>
      <c r="AK8">
        <f>Q6/E6</f>
        <v>1.2890965162660299</v>
      </c>
      <c r="AL8">
        <f>R6/F6</f>
        <v>1.2592213328710493</v>
      </c>
      <c r="AM8">
        <f>S6/G6</f>
        <v>1.7224212452836543</v>
      </c>
      <c r="AN8">
        <f>T6/H6</f>
        <v>1.4923208491510003</v>
      </c>
      <c r="AO8">
        <f>U6/I6</f>
        <v>1.4683179906325814</v>
      </c>
      <c r="AP8">
        <f>V6/J6</f>
        <v>1.5081907609240359</v>
      </c>
      <c r="AQ8">
        <f t="shared" si="20"/>
        <v>1.4519425175571963</v>
      </c>
      <c r="AR8">
        <f t="shared" si="21"/>
        <v>0.15419717705650446</v>
      </c>
    </row>
    <row r="9" spans="1:44" x14ac:dyDescent="0.2">
      <c r="A9" s="3"/>
      <c r="C9">
        <f t="shared" si="18"/>
        <v>3.5000000000000001E-3</v>
      </c>
      <c r="D9">
        <f t="shared" si="0"/>
        <v>0.30312145274999996</v>
      </c>
      <c r="E9">
        <f t="shared" si="1"/>
        <v>0.188651971</v>
      </c>
      <c r="F9">
        <f t="shared" si="2"/>
        <v>0.20947988424999997</v>
      </c>
      <c r="G9">
        <f t="shared" si="3"/>
        <v>0.25007713749999999</v>
      </c>
      <c r="H9">
        <f t="shared" si="4"/>
        <v>0.18649519674999998</v>
      </c>
      <c r="I9">
        <f t="shared" si="5"/>
        <v>0.17501472450000002</v>
      </c>
      <c r="J9">
        <f t="shared" si="6"/>
        <v>0.17649573000000002</v>
      </c>
      <c r="K9">
        <f t="shared" si="7"/>
        <v>0.21276229953571429</v>
      </c>
      <c r="L9">
        <f t="shared" si="8"/>
        <v>4.7573382035602935E-2</v>
      </c>
      <c r="O9">
        <f t="shared" si="19"/>
        <v>3.5000000000000001E-3</v>
      </c>
      <c r="P9">
        <f t="shared" si="9"/>
        <v>0.39692483000000001</v>
      </c>
      <c r="Q9">
        <f t="shared" si="10"/>
        <v>0.24247909750000002</v>
      </c>
      <c r="R9">
        <f t="shared" si="11"/>
        <v>0.26274655250000001</v>
      </c>
      <c r="S9">
        <f t="shared" si="12"/>
        <v>0.45322732999999998</v>
      </c>
      <c r="T9">
        <f t="shared" si="13"/>
        <v>0.28457631950000001</v>
      </c>
      <c r="U9">
        <f t="shared" si="14"/>
        <v>0.26681061974999998</v>
      </c>
      <c r="V9">
        <f t="shared" si="15"/>
        <v>0.25349579250000004</v>
      </c>
      <c r="W9">
        <f t="shared" si="16"/>
        <v>0.30860864882142858</v>
      </c>
      <c r="X9">
        <f t="shared" si="17"/>
        <v>8.2211936744348971E-2</v>
      </c>
      <c r="AH9" s="3"/>
      <c r="AI9">
        <f t="shared" si="22"/>
        <v>2.5000000000000001E-3</v>
      </c>
      <c r="AJ9">
        <f>P7/D7</f>
        <v>1.3716820891750257</v>
      </c>
      <c r="AK9">
        <f>Q7/E7</f>
        <v>1.2872833855416126</v>
      </c>
      <c r="AL9">
        <f>R7/F7</f>
        <v>1.2568565776672678</v>
      </c>
      <c r="AM9">
        <f>S7/G7</f>
        <v>1.762951055686343</v>
      </c>
      <c r="AN9">
        <f>T7/H7</f>
        <v>1.5076090785953082</v>
      </c>
      <c r="AO9">
        <f>U7/I7</f>
        <v>1.493714072659859</v>
      </c>
      <c r="AP9">
        <f>V7/J7</f>
        <v>1.4766781511050657</v>
      </c>
      <c r="AQ9">
        <f t="shared" si="20"/>
        <v>1.4509677729186403</v>
      </c>
      <c r="AR9">
        <f t="shared" si="21"/>
        <v>0.17019010466873247</v>
      </c>
    </row>
    <row r="10" spans="1:44" x14ac:dyDescent="0.2">
      <c r="A10" s="3"/>
      <c r="C10">
        <f t="shared" si="18"/>
        <v>4.0000000000000001E-3</v>
      </c>
      <c r="D10">
        <f t="shared" si="0"/>
        <v>0.344030224</v>
      </c>
      <c r="E10">
        <f t="shared" si="1"/>
        <v>0.21290265600000002</v>
      </c>
      <c r="F10">
        <f t="shared" si="2"/>
        <v>0.23704180800000002</v>
      </c>
      <c r="G10">
        <f t="shared" si="3"/>
        <v>0.28208720000000004</v>
      </c>
      <c r="H10">
        <f t="shared" si="4"/>
        <v>0.21097780799999999</v>
      </c>
      <c r="I10">
        <f t="shared" si="5"/>
        <v>0.19739923200000001</v>
      </c>
      <c r="J10">
        <f t="shared" si="6"/>
        <v>0.19792927999999999</v>
      </c>
      <c r="K10">
        <f t="shared" si="7"/>
        <v>0.24033831542857145</v>
      </c>
      <c r="L10">
        <f t="shared" si="8"/>
        <v>5.4410314897976694E-2</v>
      </c>
      <c r="O10">
        <f t="shared" si="19"/>
        <v>4.0000000000000001E-3</v>
      </c>
      <c r="P10">
        <f t="shared" si="9"/>
        <v>0.44363088000000001</v>
      </c>
      <c r="Q10">
        <f t="shared" si="10"/>
        <v>0.27353776000000002</v>
      </c>
      <c r="R10">
        <f t="shared" si="11"/>
        <v>0.29714864000000002</v>
      </c>
      <c r="S10">
        <f t="shared" si="12"/>
        <v>0.51575488000000003</v>
      </c>
      <c r="T10">
        <f t="shared" si="13"/>
        <v>0.32316915200000002</v>
      </c>
      <c r="U10">
        <f t="shared" si="14"/>
        <v>0.30288913599999995</v>
      </c>
      <c r="V10">
        <f t="shared" si="15"/>
        <v>0.28156128000000002</v>
      </c>
      <c r="W10">
        <f t="shared" si="16"/>
        <v>0.34824167542857143</v>
      </c>
      <c r="X10">
        <f t="shared" si="17"/>
        <v>9.3526027306512133E-2</v>
      </c>
      <c r="AH10" s="3"/>
      <c r="AI10">
        <f t="shared" si="22"/>
        <v>3.0000000000000001E-3</v>
      </c>
      <c r="AJ10">
        <f>P8/D8</f>
        <v>1.3356916206211085</v>
      </c>
      <c r="AK10">
        <f>Q8/E8</f>
        <v>1.2861075879311412</v>
      </c>
      <c r="AL10">
        <f>R8/F8</f>
        <v>1.2553178237095333</v>
      </c>
      <c r="AM10">
        <f>S8/G8</f>
        <v>1.7913927883020735</v>
      </c>
      <c r="AN10">
        <f>T8/H8</f>
        <v>1.518194843857654</v>
      </c>
      <c r="AO10">
        <f>U8/I8</f>
        <v>1.5114747182818431</v>
      </c>
      <c r="AP10">
        <f>V8/J8</f>
        <v>1.4537320997478609</v>
      </c>
      <c r="AQ10">
        <f t="shared" si="20"/>
        <v>1.4502730689216019</v>
      </c>
      <c r="AR10">
        <f t="shared" si="21"/>
        <v>0.18385700889482706</v>
      </c>
    </row>
    <row r="11" spans="1:44" x14ac:dyDescent="0.2">
      <c r="A11" s="3"/>
      <c r="C11">
        <f t="shared" si="18"/>
        <v>4.5000000000000005E-3</v>
      </c>
      <c r="D11">
        <f t="shared" si="0"/>
        <v>0.38497256474999997</v>
      </c>
      <c r="E11">
        <f t="shared" si="1"/>
        <v>0.23719629900000005</v>
      </c>
      <c r="F11">
        <f t="shared" si="2"/>
        <v>0.26463778825000001</v>
      </c>
      <c r="G11">
        <f t="shared" si="3"/>
        <v>0.31415773750000003</v>
      </c>
      <c r="H11">
        <f t="shared" si="4"/>
        <v>0.23549910075000002</v>
      </c>
      <c r="I11">
        <f t="shared" si="5"/>
        <v>0.21982934050000003</v>
      </c>
      <c r="J11">
        <f t="shared" si="6"/>
        <v>0.21942137</v>
      </c>
      <c r="K11">
        <f t="shared" si="7"/>
        <v>0.2679591715357143</v>
      </c>
      <c r="L11">
        <f t="shared" si="8"/>
        <v>6.1250690623476774E-2</v>
      </c>
      <c r="O11">
        <f t="shared" si="19"/>
        <v>4.5000000000000005E-3</v>
      </c>
      <c r="P11">
        <f t="shared" si="9"/>
        <v>0.49039827000000008</v>
      </c>
      <c r="Q11">
        <f t="shared" si="10"/>
        <v>0.30466897750000005</v>
      </c>
      <c r="R11">
        <f t="shared" si="11"/>
        <v>0.33161387250000002</v>
      </c>
      <c r="S11">
        <f t="shared" si="12"/>
        <v>0.57833477</v>
      </c>
      <c r="T11">
        <f t="shared" si="13"/>
        <v>0.36180389550000003</v>
      </c>
      <c r="U11">
        <f t="shared" si="14"/>
        <v>0.33900118775000004</v>
      </c>
      <c r="V11">
        <f t="shared" si="15"/>
        <v>0.30970043250000001</v>
      </c>
      <c r="W11">
        <f t="shared" si="16"/>
        <v>0.38793162939285725</v>
      </c>
      <c r="X11">
        <f t="shared" si="17"/>
        <v>0.10492385659537477</v>
      </c>
      <c r="AH11" s="3"/>
      <c r="AI11">
        <f t="shared" si="22"/>
        <v>3.5000000000000001E-3</v>
      </c>
      <c r="AJ11">
        <f>P9/D9</f>
        <v>1.3094580617735576</v>
      </c>
      <c r="AK11">
        <f>Q9/E9</f>
        <v>1.2853250152366551</v>
      </c>
      <c r="AL11">
        <f>R9/F9</f>
        <v>1.2542805885190862</v>
      </c>
      <c r="AM11">
        <f>S9/G9</f>
        <v>1.8123501193706681</v>
      </c>
      <c r="AN11">
        <f>T9/H9</f>
        <v>1.5259176882795511</v>
      </c>
      <c r="AO11">
        <f>U9/I9</f>
        <v>1.524503841103952</v>
      </c>
      <c r="AP11">
        <f>V9/J9</f>
        <v>1.4362715318948511</v>
      </c>
      <c r="AQ11">
        <f t="shared" si="20"/>
        <v>1.4497295494540461</v>
      </c>
      <c r="AR11">
        <f t="shared" si="21"/>
        <v>0.19492556725179483</v>
      </c>
    </row>
    <row r="12" spans="1:44" x14ac:dyDescent="0.2">
      <c r="A12" s="3"/>
      <c r="C12">
        <f t="shared" si="18"/>
        <v>5.000000000000001E-3</v>
      </c>
      <c r="D12">
        <f t="shared" si="0"/>
        <v>0.42594847500000005</v>
      </c>
      <c r="E12">
        <f t="shared" si="1"/>
        <v>0.26153290000000007</v>
      </c>
      <c r="F12">
        <f t="shared" si="2"/>
        <v>0.29226782500000009</v>
      </c>
      <c r="G12">
        <f t="shared" si="3"/>
        <v>0.34628875000000003</v>
      </c>
      <c r="H12">
        <f t="shared" si="4"/>
        <v>0.26005907500000003</v>
      </c>
      <c r="I12">
        <f t="shared" si="5"/>
        <v>0.24230505000000005</v>
      </c>
      <c r="J12">
        <f t="shared" si="6"/>
        <v>0.24097200000000002</v>
      </c>
      <c r="K12">
        <f t="shared" si="7"/>
        <v>0.29562486785714298</v>
      </c>
      <c r="L12">
        <f t="shared" si="8"/>
        <v>6.8092422613820022E-2</v>
      </c>
      <c r="O12">
        <f t="shared" si="19"/>
        <v>5.000000000000001E-3</v>
      </c>
      <c r="P12">
        <f t="shared" si="9"/>
        <v>0.53722700000000012</v>
      </c>
      <c r="Q12">
        <f t="shared" si="10"/>
        <v>0.33587275000000005</v>
      </c>
      <c r="R12">
        <f t="shared" si="11"/>
        <v>0.36614225000000006</v>
      </c>
      <c r="S12">
        <f t="shared" si="12"/>
        <v>0.64096700000000006</v>
      </c>
      <c r="T12">
        <f t="shared" si="13"/>
        <v>0.4004805500000001</v>
      </c>
      <c r="U12">
        <f t="shared" si="14"/>
        <v>0.37514677500000004</v>
      </c>
      <c r="V12">
        <f t="shared" si="15"/>
        <v>0.33791325000000011</v>
      </c>
      <c r="W12">
        <f t="shared" si="16"/>
        <v>0.42767851071428581</v>
      </c>
      <c r="X12">
        <f t="shared" si="17"/>
        <v>0.11637939007463537</v>
      </c>
      <c r="AH12" s="3"/>
      <c r="AI12">
        <f t="shared" si="22"/>
        <v>4.0000000000000001E-3</v>
      </c>
      <c r="AJ12">
        <f>P10/D10</f>
        <v>1.2895113540954473</v>
      </c>
      <c r="AK12">
        <f>Q10/E10</f>
        <v>1.2848020082943445</v>
      </c>
      <c r="AL12">
        <f>R10/F10</f>
        <v>1.2535705937578741</v>
      </c>
      <c r="AM12">
        <f>S10/G10</f>
        <v>1.8283526512369224</v>
      </c>
      <c r="AN12">
        <f>T10/H10</f>
        <v>1.5317684597424579</v>
      </c>
      <c r="AO12">
        <f>U10/I10</f>
        <v>1.5343987559181584</v>
      </c>
      <c r="AP12">
        <f>V10/J10</f>
        <v>1.4225347558481496</v>
      </c>
      <c r="AQ12">
        <f t="shared" si="20"/>
        <v>1.4492769398419079</v>
      </c>
      <c r="AR12">
        <f t="shared" si="21"/>
        <v>0.20385539531575678</v>
      </c>
    </row>
    <row r="13" spans="1:44" x14ac:dyDescent="0.2">
      <c r="A13" s="3"/>
      <c r="C13">
        <f t="shared" si="18"/>
        <v>5.5000000000000014E-3</v>
      </c>
      <c r="D13">
        <f t="shared" si="0"/>
        <v>0.46695795475000007</v>
      </c>
      <c r="E13">
        <f t="shared" si="1"/>
        <v>0.28591245900000006</v>
      </c>
      <c r="F13">
        <f t="shared" si="2"/>
        <v>0.31993191825000006</v>
      </c>
      <c r="G13">
        <f t="shared" si="3"/>
        <v>0.37848023750000009</v>
      </c>
      <c r="H13">
        <f t="shared" si="4"/>
        <v>0.28465773075000006</v>
      </c>
      <c r="I13">
        <f t="shared" si="5"/>
        <v>0.26482636050000008</v>
      </c>
      <c r="J13">
        <f t="shared" si="6"/>
        <v>0.26258117000000003</v>
      </c>
      <c r="K13">
        <f t="shared" si="7"/>
        <v>0.32333540439285713</v>
      </c>
      <c r="L13">
        <f t="shared" si="8"/>
        <v>7.4934190907364737E-2</v>
      </c>
      <c r="O13">
        <f t="shared" si="19"/>
        <v>5.5000000000000014E-3</v>
      </c>
      <c r="P13">
        <f t="shared" si="9"/>
        <v>0.58411707000000013</v>
      </c>
      <c r="Q13">
        <f t="shared" si="10"/>
        <v>0.36714907750000014</v>
      </c>
      <c r="R13">
        <f t="shared" si="11"/>
        <v>0.40073377250000008</v>
      </c>
      <c r="S13">
        <f t="shared" si="12"/>
        <v>0.70365157000000012</v>
      </c>
      <c r="T13">
        <f t="shared" si="13"/>
        <v>0.43919911550000013</v>
      </c>
      <c r="U13">
        <f t="shared" si="14"/>
        <v>0.41132589775000006</v>
      </c>
      <c r="V13">
        <f t="shared" si="15"/>
        <v>0.3661997325000001</v>
      </c>
      <c r="W13">
        <f t="shared" si="16"/>
        <v>0.46748231939285734</v>
      </c>
      <c r="X13">
        <f t="shared" si="17"/>
        <v>0.12787582104295056</v>
      </c>
      <c r="AH13" s="3"/>
      <c r="AI13">
        <f t="shared" si="22"/>
        <v>4.5000000000000005E-3</v>
      </c>
      <c r="AJ13">
        <f>P11/D11</f>
        <v>1.2738525154863003</v>
      </c>
      <c r="AK13">
        <f>Q11/E11</f>
        <v>1.2844592381266453</v>
      </c>
      <c r="AL13">
        <f>R11/F11</f>
        <v>1.2530858676415801</v>
      </c>
      <c r="AM13">
        <f>S11/G11</f>
        <v>1.8409057010731749</v>
      </c>
      <c r="AN13">
        <f>T11/H11</f>
        <v>1.5363281403103193</v>
      </c>
      <c r="AO13">
        <f>U11/I11</f>
        <v>1.5421107436293291</v>
      </c>
      <c r="AP13">
        <f>V11/J11</f>
        <v>1.4114415223093357</v>
      </c>
      <c r="AQ13">
        <f t="shared" si="20"/>
        <v>1.4488833897966693</v>
      </c>
      <c r="AR13">
        <f t="shared" si="21"/>
        <v>0.21111966913375696</v>
      </c>
    </row>
    <row r="14" spans="1:44" x14ac:dyDescent="0.2">
      <c r="A14" s="3"/>
      <c r="C14">
        <f t="shared" si="18"/>
        <v>6.0000000000000019E-3</v>
      </c>
      <c r="D14">
        <f t="shared" si="0"/>
        <v>0.50800100400000014</v>
      </c>
      <c r="E14">
        <f t="shared" si="1"/>
        <v>0.3103349760000001</v>
      </c>
      <c r="F14">
        <f t="shared" si="2"/>
        <v>0.34763006800000007</v>
      </c>
      <c r="G14">
        <f t="shared" si="3"/>
        <v>0.41073220000000016</v>
      </c>
      <c r="H14">
        <f t="shared" si="4"/>
        <v>0.30929506800000006</v>
      </c>
      <c r="I14">
        <f t="shared" si="5"/>
        <v>0.28739327200000009</v>
      </c>
      <c r="J14">
        <f t="shared" si="6"/>
        <v>0.28424888000000004</v>
      </c>
      <c r="K14">
        <f t="shared" si="7"/>
        <v>0.3510907811428573</v>
      </c>
      <c r="L14">
        <f t="shared" si="8"/>
        <v>8.1775121649951987E-2</v>
      </c>
      <c r="O14">
        <f t="shared" si="19"/>
        <v>6.0000000000000019E-3</v>
      </c>
      <c r="P14">
        <f t="shared" si="9"/>
        <v>0.63106848000000026</v>
      </c>
      <c r="Q14">
        <f t="shared" si="10"/>
        <v>0.39849796000000015</v>
      </c>
      <c r="R14">
        <f t="shared" si="11"/>
        <v>0.4353884400000001</v>
      </c>
      <c r="S14">
        <f t="shared" si="12"/>
        <v>0.76638848000000015</v>
      </c>
      <c r="T14">
        <f t="shared" si="13"/>
        <v>0.47795959200000016</v>
      </c>
      <c r="U14">
        <f t="shared" si="14"/>
        <v>0.44753855600000009</v>
      </c>
      <c r="V14">
        <f t="shared" si="15"/>
        <v>0.39455988000000008</v>
      </c>
      <c r="W14">
        <f t="shared" si="16"/>
        <v>0.5073430554285715</v>
      </c>
      <c r="X14">
        <f t="shared" si="17"/>
        <v>0.13940184413642254</v>
      </c>
      <c r="AH14" s="3"/>
      <c r="AI14">
        <f t="shared" si="22"/>
        <v>5.000000000000001E-3</v>
      </c>
      <c r="AJ14">
        <f>P12/D12</f>
        <v>1.2612487930611798</v>
      </c>
      <c r="AK14">
        <f>Q12/E12</f>
        <v>1.2842466473625305</v>
      </c>
      <c r="AL14">
        <f>R12/F12</f>
        <v>1.2527627699012025</v>
      </c>
      <c r="AM14">
        <f>S12/G12</f>
        <v>1.8509610837776278</v>
      </c>
      <c r="AN14">
        <f>T12/H12</f>
        <v>1.5399599110317532</v>
      </c>
      <c r="AO14">
        <f>U12/I12</f>
        <v>1.5482416689210563</v>
      </c>
      <c r="AP14">
        <f>V12/J12</f>
        <v>1.4022925900104579</v>
      </c>
      <c r="AQ14">
        <f t="shared" si="20"/>
        <v>1.4485304948665438</v>
      </c>
      <c r="AR14">
        <f t="shared" si="21"/>
        <v>0.21709391194764324</v>
      </c>
    </row>
    <row r="15" spans="1:44" x14ac:dyDescent="0.2">
      <c r="A15" s="3"/>
      <c r="C15">
        <f t="shared" si="18"/>
        <v>6.5000000000000023E-3</v>
      </c>
      <c r="D15">
        <f t="shared" si="0"/>
        <v>0.54907762275000016</v>
      </c>
      <c r="E15">
        <f t="shared" si="1"/>
        <v>0.33480045100000011</v>
      </c>
      <c r="F15">
        <f t="shared" si="2"/>
        <v>0.37536227425000018</v>
      </c>
      <c r="G15">
        <f t="shared" si="3"/>
        <v>0.44304463750000017</v>
      </c>
      <c r="H15">
        <f t="shared" si="4"/>
        <v>0.33397108675000009</v>
      </c>
      <c r="I15">
        <f t="shared" si="5"/>
        <v>0.3100057845000001</v>
      </c>
      <c r="J15">
        <f t="shared" si="6"/>
        <v>0.3059751300000001</v>
      </c>
      <c r="K15">
        <f t="shared" si="7"/>
        <v>0.37889099810714294</v>
      </c>
      <c r="L15">
        <f t="shared" si="8"/>
        <v>8.8614614861957527E-2</v>
      </c>
      <c r="O15">
        <f t="shared" si="19"/>
        <v>6.5000000000000023E-3</v>
      </c>
      <c r="P15">
        <f t="shared" si="9"/>
        <v>0.6780812300000002</v>
      </c>
      <c r="Q15">
        <f t="shared" si="10"/>
        <v>0.42991939750000019</v>
      </c>
      <c r="R15">
        <f t="shared" si="11"/>
        <v>0.47010625250000015</v>
      </c>
      <c r="S15">
        <f t="shared" si="12"/>
        <v>0.82917773000000028</v>
      </c>
      <c r="T15">
        <f t="shared" si="13"/>
        <v>0.51676197950000013</v>
      </c>
      <c r="U15">
        <f t="shared" si="14"/>
        <v>0.48378474975000013</v>
      </c>
      <c r="V15">
        <f t="shared" si="15"/>
        <v>0.42299369250000013</v>
      </c>
      <c r="W15">
        <f t="shared" si="16"/>
        <v>0.54726071882142879</v>
      </c>
      <c r="X15">
        <f t="shared" si="17"/>
        <v>0.15094958887004248</v>
      </c>
      <c r="AH15" s="3"/>
      <c r="AI15">
        <f t="shared" si="22"/>
        <v>5.5000000000000014E-3</v>
      </c>
      <c r="AJ15">
        <f>P13/D13</f>
        <v>1.2508986388565213</v>
      </c>
      <c r="AK15">
        <f>Q13/E13</f>
        <v>1.2841310895794158</v>
      </c>
      <c r="AL15">
        <f>R13/F13</f>
        <v>1.2525595279520068</v>
      </c>
      <c r="AM15">
        <f>S13/G13</f>
        <v>1.8591500963111711</v>
      </c>
      <c r="AN15">
        <f>T13/H13</f>
        <v>1.5429024686693849</v>
      </c>
      <c r="AO15">
        <f>U13/I13</f>
        <v>1.5531909171481437</v>
      </c>
      <c r="AP15">
        <f>V13/J13</f>
        <v>1.3946153583670911</v>
      </c>
      <c r="AQ15">
        <f t="shared" si="20"/>
        <v>1.4482068709833906</v>
      </c>
      <c r="AR15">
        <f t="shared" si="21"/>
        <v>0.22206026741297402</v>
      </c>
    </row>
    <row r="16" spans="1:44" x14ac:dyDescent="0.2">
      <c r="A16" s="3"/>
      <c r="C16">
        <f t="shared" si="18"/>
        <v>7.0000000000000027E-3</v>
      </c>
      <c r="D16">
        <f t="shared" si="0"/>
        <v>0.59018781100000028</v>
      </c>
      <c r="E16">
        <f t="shared" si="1"/>
        <v>0.35930888400000011</v>
      </c>
      <c r="F16">
        <f t="shared" si="2"/>
        <v>0.40312853700000018</v>
      </c>
      <c r="G16">
        <f t="shared" si="3"/>
        <v>0.47541755000000019</v>
      </c>
      <c r="H16">
        <f t="shared" si="4"/>
        <v>0.35868578700000014</v>
      </c>
      <c r="I16">
        <f t="shared" si="5"/>
        <v>0.33266389800000012</v>
      </c>
      <c r="J16">
        <f t="shared" si="6"/>
        <v>0.32775992000000009</v>
      </c>
      <c r="K16">
        <f t="shared" si="7"/>
        <v>0.40673605528571449</v>
      </c>
      <c r="L16">
        <f t="shared" si="8"/>
        <v>9.545224623439108E-2</v>
      </c>
      <c r="O16">
        <f t="shared" si="19"/>
        <v>7.0000000000000027E-3</v>
      </c>
      <c r="P16">
        <f t="shared" si="9"/>
        <v>0.72515532000000027</v>
      </c>
      <c r="Q16">
        <f t="shared" si="10"/>
        <v>0.4614133900000002</v>
      </c>
      <c r="R16">
        <f t="shared" si="11"/>
        <v>0.50488721000000014</v>
      </c>
      <c r="S16">
        <f t="shared" si="12"/>
        <v>0.89201932000000028</v>
      </c>
      <c r="T16">
        <f t="shared" si="13"/>
        <v>0.55560627800000018</v>
      </c>
      <c r="U16">
        <f t="shared" si="14"/>
        <v>0.52006447900000019</v>
      </c>
      <c r="V16">
        <f t="shared" si="15"/>
        <v>0.45150117000000017</v>
      </c>
      <c r="W16">
        <f t="shared" si="16"/>
        <v>0.58723530957142878</v>
      </c>
      <c r="X16">
        <f t="shared" si="17"/>
        <v>0.16251341483100429</v>
      </c>
      <c r="AH16" s="3"/>
      <c r="AI16">
        <f t="shared" si="22"/>
        <v>6.0000000000000019E-3</v>
      </c>
      <c r="AJ16">
        <f>P14/D14</f>
        <v>1.2422583322295955</v>
      </c>
      <c r="AK16">
        <f>Q14/E14</f>
        <v>1.2840897443670676</v>
      </c>
      <c r="AL16">
        <f>R14/F14</f>
        <v>1.2524475874739351</v>
      </c>
      <c r="AM16">
        <f>S14/G14</f>
        <v>1.8659079565712156</v>
      </c>
      <c r="AN16">
        <f>T14/H14</f>
        <v>1.5453191513548481</v>
      </c>
      <c r="AO16">
        <f>U14/I14</f>
        <v>1.5572339355251155</v>
      </c>
      <c r="AP16">
        <f>V14/J14</f>
        <v>1.3880789257639292</v>
      </c>
      <c r="AQ16">
        <f t="shared" si="20"/>
        <v>1.4479050904693866</v>
      </c>
      <c r="AR16">
        <f t="shared" si="21"/>
        <v>0.2262290704656463</v>
      </c>
    </row>
    <row r="17" spans="1:44" x14ac:dyDescent="0.2">
      <c r="A17" s="3"/>
      <c r="C17">
        <f t="shared" si="18"/>
        <v>7.5000000000000032E-3</v>
      </c>
      <c r="D17">
        <f t="shared" si="0"/>
        <v>0.63133156875000029</v>
      </c>
      <c r="E17">
        <f t="shared" si="1"/>
        <v>0.38386027500000014</v>
      </c>
      <c r="F17">
        <f t="shared" si="2"/>
        <v>0.43092885625000021</v>
      </c>
      <c r="G17">
        <f t="shared" si="3"/>
        <v>0.50785093750000021</v>
      </c>
      <c r="H17">
        <f t="shared" si="4"/>
        <v>0.38343916875000011</v>
      </c>
      <c r="I17">
        <f t="shared" si="5"/>
        <v>0.35536761250000015</v>
      </c>
      <c r="J17">
        <f t="shared" si="6"/>
        <v>0.34960325000000014</v>
      </c>
      <c r="K17">
        <f t="shared" si="7"/>
        <v>0.43462595267857168</v>
      </c>
      <c r="L17">
        <f t="shared" si="8"/>
        <v>0.10228770833282487</v>
      </c>
      <c r="O17">
        <f t="shared" si="19"/>
        <v>7.5000000000000032E-3</v>
      </c>
      <c r="P17">
        <f t="shared" si="9"/>
        <v>0.77229075000000036</v>
      </c>
      <c r="Q17">
        <f t="shared" si="10"/>
        <v>0.49297993750000024</v>
      </c>
      <c r="R17">
        <f t="shared" si="11"/>
        <v>0.53973131250000028</v>
      </c>
      <c r="S17">
        <f t="shared" si="12"/>
        <v>0.95491325000000038</v>
      </c>
      <c r="T17">
        <f t="shared" si="13"/>
        <v>0.59449248750000017</v>
      </c>
      <c r="U17">
        <f t="shared" si="14"/>
        <v>0.55637774375000026</v>
      </c>
      <c r="V17">
        <f t="shared" si="15"/>
        <v>0.48008231250000022</v>
      </c>
      <c r="W17">
        <f t="shared" si="16"/>
        <v>0.62726682767857167</v>
      </c>
      <c r="X17">
        <f t="shared" si="17"/>
        <v>0.17408917853581904</v>
      </c>
      <c r="AH17" s="3"/>
      <c r="AI17">
        <f t="shared" si="22"/>
        <v>6.5000000000000023E-3</v>
      </c>
      <c r="AJ17">
        <f>P15/D15</f>
        <v>1.2349460293134846</v>
      </c>
      <c r="AK17">
        <f>Q15/E15</f>
        <v>1.284106387001253</v>
      </c>
      <c r="AL17">
        <f>R15/F15</f>
        <v>1.2524067674070469</v>
      </c>
      <c r="AM17">
        <f>S15/G15</f>
        <v>1.8715444445482086</v>
      </c>
      <c r="AN17">
        <f>T15/H15</f>
        <v>1.5473255021229768</v>
      </c>
      <c r="AO17">
        <f>U15/I15</f>
        <v>1.5605668472615226</v>
      </c>
      <c r="AP17">
        <f>V15/J15</f>
        <v>1.3824446859455537</v>
      </c>
      <c r="AQ17">
        <f t="shared" si="20"/>
        <v>1.4476200948000066</v>
      </c>
      <c r="AR17">
        <f t="shared" si="21"/>
        <v>0.22975822775630697</v>
      </c>
    </row>
    <row r="18" spans="1:44" x14ac:dyDescent="0.2">
      <c r="A18" s="3"/>
      <c r="C18">
        <f t="shared" si="18"/>
        <v>8.0000000000000036E-3</v>
      </c>
      <c r="D18">
        <f t="shared" si="0"/>
        <v>0.6725088960000003</v>
      </c>
      <c r="E18">
        <f t="shared" si="1"/>
        <v>0.40845462400000021</v>
      </c>
      <c r="F18">
        <f t="shared" si="2"/>
        <v>0.45876323200000019</v>
      </c>
      <c r="G18">
        <f t="shared" si="3"/>
        <v>0.54034480000000018</v>
      </c>
      <c r="H18">
        <f t="shared" si="4"/>
        <v>0.40823123200000017</v>
      </c>
      <c r="I18">
        <f t="shared" si="5"/>
        <v>0.37811692800000019</v>
      </c>
      <c r="J18">
        <f t="shared" si="6"/>
        <v>0.37150512000000019</v>
      </c>
      <c r="K18">
        <f t="shared" si="7"/>
        <v>0.4625606902857145</v>
      </c>
      <c r="L18">
        <f t="shared" si="8"/>
        <v>0.10912077392479713</v>
      </c>
      <c r="O18">
        <f t="shared" si="19"/>
        <v>8.0000000000000036E-3</v>
      </c>
      <c r="P18">
        <f t="shared" si="9"/>
        <v>0.81948752000000036</v>
      </c>
      <c r="Q18">
        <f t="shared" si="10"/>
        <v>0.52461904000000026</v>
      </c>
      <c r="R18">
        <f t="shared" si="11"/>
        <v>0.57463856000000013</v>
      </c>
      <c r="S18">
        <f t="shared" si="12"/>
        <v>1.0178595200000002</v>
      </c>
      <c r="T18">
        <f t="shared" si="13"/>
        <v>0.63342060800000033</v>
      </c>
      <c r="U18">
        <f t="shared" si="14"/>
        <v>0.59272454400000019</v>
      </c>
      <c r="V18">
        <f t="shared" si="15"/>
        <v>0.50873712000000026</v>
      </c>
      <c r="W18">
        <f t="shared" si="16"/>
        <v>0.66735527314285736</v>
      </c>
      <c r="X18">
        <f t="shared" si="17"/>
        <v>0.18567377057791729</v>
      </c>
      <c r="AH18" s="3"/>
      <c r="AI18">
        <f t="shared" si="22"/>
        <v>7.0000000000000027E-3</v>
      </c>
      <c r="AJ18">
        <f>P16/D16</f>
        <v>1.2286856937477482</v>
      </c>
      <c r="AK18">
        <f>Q16/E16</f>
        <v>1.2841691662708792</v>
      </c>
      <c r="AL18">
        <f>R16/F16</f>
        <v>1.2524224004513973</v>
      </c>
      <c r="AM18">
        <f>S16/G16</f>
        <v>1.8762860563309032</v>
      </c>
      <c r="AN18">
        <f>T16/H16</f>
        <v>1.5490055590075553</v>
      </c>
      <c r="AO18">
        <f>U16/I16</f>
        <v>1.563333088221073</v>
      </c>
      <c r="AP18">
        <f>V16/J16</f>
        <v>1.377536246652733</v>
      </c>
      <c r="AQ18">
        <f t="shared" si="20"/>
        <v>1.4473483158117555</v>
      </c>
      <c r="AR18">
        <f t="shared" si="21"/>
        <v>0.23276771768539833</v>
      </c>
    </row>
    <row r="19" spans="1:44" x14ac:dyDescent="0.2">
      <c r="A19" s="3"/>
      <c r="C19">
        <f t="shared" si="18"/>
        <v>8.5000000000000041E-3</v>
      </c>
      <c r="D19">
        <f t="shared" si="0"/>
        <v>0.7137197927500003</v>
      </c>
      <c r="E19">
        <f t="shared" si="1"/>
        <v>0.43309193100000021</v>
      </c>
      <c r="F19">
        <f t="shared" si="2"/>
        <v>0.48663166425000021</v>
      </c>
      <c r="G19">
        <f t="shared" si="3"/>
        <v>0.57289913750000021</v>
      </c>
      <c r="H19">
        <f t="shared" si="4"/>
        <v>0.43306197675000019</v>
      </c>
      <c r="I19">
        <f t="shared" si="5"/>
        <v>0.40091184450000017</v>
      </c>
      <c r="J19">
        <f t="shared" si="6"/>
        <v>0.39346553000000017</v>
      </c>
      <c r="K19">
        <f t="shared" si="7"/>
        <v>0.49054026810714302</v>
      </c>
      <c r="L19">
        <f t="shared" si="8"/>
        <v>0.11595127229586445</v>
      </c>
      <c r="O19">
        <f t="shared" si="19"/>
        <v>8.5000000000000041E-3</v>
      </c>
      <c r="P19">
        <f t="shared" si="9"/>
        <v>0.86674563000000038</v>
      </c>
      <c r="Q19">
        <f t="shared" si="10"/>
        <v>0.5563306975000003</v>
      </c>
      <c r="R19">
        <f t="shared" si="11"/>
        <v>0.60960895250000036</v>
      </c>
      <c r="S19">
        <f t="shared" si="12"/>
        <v>1.0808581300000004</v>
      </c>
      <c r="T19">
        <f t="shared" si="13"/>
        <v>0.67239063950000033</v>
      </c>
      <c r="U19">
        <f t="shared" si="14"/>
        <v>0.62910487975000018</v>
      </c>
      <c r="V19">
        <f t="shared" si="15"/>
        <v>0.53746559250000026</v>
      </c>
      <c r="W19">
        <f t="shared" si="16"/>
        <v>0.70750064596428597</v>
      </c>
      <c r="X19">
        <f t="shared" si="17"/>
        <v>0.19726481394091561</v>
      </c>
      <c r="AH19" s="3"/>
      <c r="AI19">
        <f t="shared" si="22"/>
        <v>7.5000000000000032E-3</v>
      </c>
      <c r="AJ19">
        <f>P17/D17</f>
        <v>1.2232728224395479</v>
      </c>
      <c r="AK19">
        <f>Q17/E17</f>
        <v>1.2842692240034477</v>
      </c>
      <c r="AL19">
        <f>R17/F17</f>
        <v>1.2524835704826394</v>
      </c>
      <c r="AM19">
        <f>S17/G17</f>
        <v>1.8803022294312493</v>
      </c>
      <c r="AN19">
        <f>T17/H17</f>
        <v>1.5504219076992769</v>
      </c>
      <c r="AO19">
        <f>U17/I17</f>
        <v>1.5656399856922809</v>
      </c>
      <c r="AP19">
        <f>V17/J17</f>
        <v>1.3732203934030933</v>
      </c>
      <c r="AQ19">
        <f t="shared" si="20"/>
        <v>1.4470871618787908</v>
      </c>
      <c r="AR19">
        <f t="shared" si="21"/>
        <v>0.2353499285405812</v>
      </c>
    </row>
    <row r="20" spans="1:44" x14ac:dyDescent="0.2">
      <c r="A20" s="3"/>
      <c r="C20">
        <f t="shared" si="18"/>
        <v>9.0000000000000045E-3</v>
      </c>
      <c r="D20">
        <f t="shared" si="0"/>
        <v>0.75496425900000041</v>
      </c>
      <c r="E20">
        <f t="shared" si="1"/>
        <v>0.45777219600000024</v>
      </c>
      <c r="F20">
        <f t="shared" si="2"/>
        <v>0.51453415300000027</v>
      </c>
      <c r="G20">
        <f t="shared" si="3"/>
        <v>0.6055139500000003</v>
      </c>
      <c r="H20">
        <f t="shared" si="4"/>
        <v>0.45793140300000024</v>
      </c>
      <c r="I20">
        <f t="shared" si="5"/>
        <v>0.42375236200000022</v>
      </c>
      <c r="J20">
        <f t="shared" si="6"/>
        <v>0.41548448000000016</v>
      </c>
      <c r="K20">
        <f t="shared" si="7"/>
        <v>0.51856468614285745</v>
      </c>
      <c r="L20">
        <f t="shared" si="8"/>
        <v>0.12277907348840704</v>
      </c>
      <c r="O20">
        <f t="shared" si="19"/>
        <v>9.0000000000000045E-3</v>
      </c>
      <c r="P20">
        <f t="shared" si="9"/>
        <v>0.91406508000000053</v>
      </c>
      <c r="Q20">
        <f t="shared" si="10"/>
        <v>0.58811491000000038</v>
      </c>
      <c r="R20">
        <f t="shared" si="11"/>
        <v>0.64464249000000029</v>
      </c>
      <c r="S20">
        <f t="shared" si="12"/>
        <v>1.1439090800000005</v>
      </c>
      <c r="T20">
        <f t="shared" si="13"/>
        <v>0.71140258200000028</v>
      </c>
      <c r="U20">
        <f t="shared" si="14"/>
        <v>0.66551875100000024</v>
      </c>
      <c r="V20">
        <f t="shared" si="15"/>
        <v>0.5662677300000003</v>
      </c>
      <c r="W20">
        <f t="shared" si="16"/>
        <v>0.74770294614285759</v>
      </c>
      <c r="X20">
        <f t="shared" si="17"/>
        <v>0.20886046179719336</v>
      </c>
      <c r="AH20" s="3"/>
      <c r="AI20">
        <f t="shared" si="22"/>
        <v>8.0000000000000036E-3</v>
      </c>
      <c r="AJ20">
        <f>P18/D18</f>
        <v>1.2185526836510427</v>
      </c>
      <c r="AK20">
        <f>Q18/E18</f>
        <v>1.2843998064274575</v>
      </c>
      <c r="AL20">
        <f>R18/F18</f>
        <v>1.2525819854717561</v>
      </c>
      <c r="AM20">
        <f>S18/G18</f>
        <v>1.8837222454995401</v>
      </c>
      <c r="AN20">
        <f>T18/H18</f>
        <v>1.5516221159678445</v>
      </c>
      <c r="AO20">
        <f>U18/I18</f>
        <v>1.5675694477238531</v>
      </c>
      <c r="AP20">
        <f>V18/J18</f>
        <v>1.3693946398369961</v>
      </c>
      <c r="AQ20">
        <f t="shared" si="20"/>
        <v>1.4468347035112128</v>
      </c>
      <c r="AR20">
        <f t="shared" si="21"/>
        <v>0.23757695697874634</v>
      </c>
    </row>
    <row r="21" spans="1:44" x14ac:dyDescent="0.2">
      <c r="A21" s="3"/>
      <c r="C21">
        <f>C20+0.0005</f>
        <v>9.500000000000005E-3</v>
      </c>
      <c r="D21">
        <f t="shared" si="0"/>
        <v>0.79624229475000041</v>
      </c>
      <c r="E21">
        <f t="shared" si="1"/>
        <v>0.48249541900000026</v>
      </c>
      <c r="F21">
        <f t="shared" si="2"/>
        <v>0.54247069825000016</v>
      </c>
      <c r="G21">
        <f t="shared" si="3"/>
        <v>0.63818923750000023</v>
      </c>
      <c r="H21">
        <f t="shared" si="4"/>
        <v>0.4828395107500002</v>
      </c>
      <c r="I21">
        <f t="shared" si="5"/>
        <v>0.44663848050000021</v>
      </c>
      <c r="J21">
        <f t="shared" si="6"/>
        <v>0.43756197000000019</v>
      </c>
      <c r="K21">
        <f t="shared" si="7"/>
        <v>0.5466339443928574</v>
      </c>
      <c r="L21">
        <f t="shared" si="8"/>
        <v>0.12960407753544487</v>
      </c>
      <c r="O21">
        <f>O20+0.0005</f>
        <v>9.500000000000005E-3</v>
      </c>
      <c r="P21">
        <f t="shared" si="9"/>
        <v>0.96144587000000048</v>
      </c>
      <c r="Q21">
        <f t="shared" si="10"/>
        <v>0.61997167750000037</v>
      </c>
      <c r="R21">
        <f t="shared" si="11"/>
        <v>0.67973917250000038</v>
      </c>
      <c r="S21">
        <f t="shared" si="12"/>
        <v>1.2070123700000004</v>
      </c>
      <c r="T21">
        <f t="shared" si="13"/>
        <v>0.75045643550000041</v>
      </c>
      <c r="U21">
        <f t="shared" si="14"/>
        <v>0.70196615775000037</v>
      </c>
      <c r="V21">
        <f t="shared" si="15"/>
        <v>0.59514353250000041</v>
      </c>
      <c r="W21">
        <f t="shared" si="16"/>
        <v>0.78796217367857191</v>
      </c>
      <c r="X21">
        <f t="shared" si="17"/>
        <v>0.22045925861507473</v>
      </c>
      <c r="AH21" s="3"/>
      <c r="AI21">
        <f t="shared" si="22"/>
        <v>8.5000000000000041E-3</v>
      </c>
      <c r="AJ21">
        <f>P19/D19</f>
        <v>1.2144060439467195</v>
      </c>
      <c r="AK21">
        <f>Q19/E19</f>
        <v>1.2845556743932964</v>
      </c>
      <c r="AL21">
        <f>R19/F19</f>
        <v>1.2527112337408901</v>
      </c>
      <c r="AM21">
        <f>S19/G19</f>
        <v>1.8866464605211595</v>
      </c>
      <c r="AN21">
        <f>T19/H19</f>
        <v>1.552642983219376</v>
      </c>
      <c r="AO21">
        <f>U19/I19</f>
        <v>1.5691850674419272</v>
      </c>
      <c r="AP21">
        <f>V19/J19</f>
        <v>1.3659788508030171</v>
      </c>
      <c r="AQ21">
        <f t="shared" si="20"/>
        <v>1.4465894734380551</v>
      </c>
      <c r="AR21">
        <f t="shared" si="21"/>
        <v>0.23950578272756862</v>
      </c>
    </row>
    <row r="22" spans="1:44" x14ac:dyDescent="0.2">
      <c r="A22" s="3"/>
      <c r="C22">
        <f t="shared" si="18"/>
        <v>1.0000000000000005E-2</v>
      </c>
      <c r="D22">
        <f t="shared" si="0"/>
        <v>0.83755390000000052</v>
      </c>
      <c r="E22">
        <f t="shared" si="1"/>
        <v>0.50726160000000031</v>
      </c>
      <c r="F22">
        <f t="shared" si="2"/>
        <v>0.57044130000000026</v>
      </c>
      <c r="G22">
        <f t="shared" si="3"/>
        <v>0.67092500000000022</v>
      </c>
      <c r="H22">
        <f t="shared" si="4"/>
        <v>0.50778630000000025</v>
      </c>
      <c r="I22">
        <f t="shared" si="5"/>
        <v>0.46957020000000027</v>
      </c>
      <c r="J22">
        <f t="shared" si="6"/>
        <v>0.45969800000000022</v>
      </c>
      <c r="K22">
        <f t="shared" si="7"/>
        <v>0.57474804285714309</v>
      </c>
      <c r="L22">
        <f t="shared" si="8"/>
        <v>0.13642620693582402</v>
      </c>
      <c r="O22">
        <f t="shared" ref="O22:O25" si="23">O21+0.0005</f>
        <v>1.0000000000000005E-2</v>
      </c>
      <c r="P22">
        <f t="shared" si="9"/>
        <v>1.0088880000000007</v>
      </c>
      <c r="Q22">
        <f t="shared" si="10"/>
        <v>0.6519010000000004</v>
      </c>
      <c r="R22">
        <f t="shared" si="11"/>
        <v>0.7148990000000004</v>
      </c>
      <c r="S22">
        <f t="shared" si="12"/>
        <v>1.2701680000000004</v>
      </c>
      <c r="T22">
        <f t="shared" si="13"/>
        <v>0.78955220000000037</v>
      </c>
      <c r="U22">
        <f t="shared" si="14"/>
        <v>0.73844710000000036</v>
      </c>
      <c r="V22">
        <f t="shared" si="15"/>
        <v>0.62409300000000034</v>
      </c>
      <c r="W22">
        <f t="shared" si="16"/>
        <v>0.82827832857142891</v>
      </c>
      <c r="X22">
        <f t="shared" si="17"/>
        <v>0.23206004265228955</v>
      </c>
      <c r="AH22" s="3"/>
      <c r="AI22">
        <f t="shared" si="22"/>
        <v>9.0000000000000045E-3</v>
      </c>
      <c r="AJ22">
        <f>P20/D20</f>
        <v>1.210739540452868</v>
      </c>
      <c r="AK22">
        <f>Q20/E20</f>
        <v>1.2847327014155312</v>
      </c>
      <c r="AL22">
        <f>R20/F20</f>
        <v>1.2528662796072936</v>
      </c>
      <c r="AM22">
        <f>S20/G20</f>
        <v>1.8891539658169723</v>
      </c>
      <c r="AN22">
        <f>T20/H20</f>
        <v>1.5535134243676227</v>
      </c>
      <c r="AO22">
        <f>U20/I20</f>
        <v>1.5705369708358108</v>
      </c>
      <c r="AP22">
        <f>V20/J20</f>
        <v>1.3629094641513446</v>
      </c>
      <c r="AQ22">
        <f t="shared" si="20"/>
        <v>1.4463503352353493</v>
      </c>
      <c r="AR22">
        <f t="shared" si="21"/>
        <v>0.24118197428479976</v>
      </c>
    </row>
    <row r="23" spans="1:44" x14ac:dyDescent="0.2">
      <c r="A23" s="3"/>
      <c r="C23">
        <f t="shared" si="18"/>
        <v>1.0500000000000006E-2</v>
      </c>
      <c r="D23">
        <f t="shared" si="0"/>
        <v>0.8788990747500004</v>
      </c>
      <c r="E23">
        <f t="shared" si="1"/>
        <v>0.53207073900000035</v>
      </c>
      <c r="F23">
        <f t="shared" si="2"/>
        <v>0.59844595825000035</v>
      </c>
      <c r="G23">
        <f t="shared" si="3"/>
        <v>0.70372123750000037</v>
      </c>
      <c r="H23">
        <f t="shared" si="4"/>
        <v>0.53277177075000026</v>
      </c>
      <c r="I23">
        <f t="shared" si="5"/>
        <v>0.49254752050000028</v>
      </c>
      <c r="J23">
        <f t="shared" si="6"/>
        <v>0.48189257000000024</v>
      </c>
      <c r="K23">
        <f t="shared" si="7"/>
        <v>0.60290698153571465</v>
      </c>
      <c r="L23">
        <f t="shared" si="8"/>
        <v>0.1432454012869494</v>
      </c>
      <c r="O23">
        <f t="shared" si="23"/>
        <v>1.0500000000000006E-2</v>
      </c>
      <c r="P23">
        <f t="shared" si="9"/>
        <v>1.0563914700000008</v>
      </c>
      <c r="Q23">
        <f t="shared" si="10"/>
        <v>0.68390287750000045</v>
      </c>
      <c r="R23">
        <f t="shared" si="11"/>
        <v>0.75012197250000034</v>
      </c>
      <c r="S23">
        <f t="shared" si="12"/>
        <v>1.3333759700000005</v>
      </c>
      <c r="T23">
        <f t="shared" si="13"/>
        <v>0.82868987550000051</v>
      </c>
      <c r="U23">
        <f t="shared" si="14"/>
        <v>0.7749615777500003</v>
      </c>
      <c r="V23">
        <f t="shared" si="15"/>
        <v>0.65311613250000033</v>
      </c>
      <c r="W23">
        <f t="shared" si="16"/>
        <v>0.86865141082142894</v>
      </c>
      <c r="X23">
        <f t="shared" si="17"/>
        <v>0.24366187616059198</v>
      </c>
      <c r="AH23" s="3"/>
      <c r="AI23">
        <f>AI22+0.0005</f>
        <v>9.500000000000005E-3</v>
      </c>
      <c r="AJ23">
        <f>P21/D21</f>
        <v>1.2074790253409859</v>
      </c>
      <c r="AK23">
        <f>Q21/E21</f>
        <v>1.284927593271098</v>
      </c>
      <c r="AL23">
        <f>R21/F21</f>
        <v>1.2530431130986901</v>
      </c>
      <c r="AM23">
        <f>S21/G21</f>
        <v>1.8913079366995749</v>
      </c>
      <c r="AN23">
        <f>T21/H21</f>
        <v>1.5542564740286224</v>
      </c>
      <c r="AO23">
        <f>U21/I21</f>
        <v>1.5716652021656696</v>
      </c>
      <c r="AP23">
        <f>V21/J21</f>
        <v>1.360135416933058</v>
      </c>
      <c r="AQ23">
        <f t="shared" si="20"/>
        <v>1.4461163945053859</v>
      </c>
      <c r="AR23">
        <f t="shared" si="21"/>
        <v>0.24264237512848105</v>
      </c>
    </row>
    <row r="24" spans="1:44" x14ac:dyDescent="0.2">
      <c r="A24" s="3"/>
      <c r="C24">
        <f t="shared" si="18"/>
        <v>1.1000000000000006E-2</v>
      </c>
      <c r="D24">
        <f t="shared" si="0"/>
        <v>0.9202778190000005</v>
      </c>
      <c r="E24">
        <f t="shared" si="1"/>
        <v>0.55692283600000037</v>
      </c>
      <c r="F24">
        <f t="shared" si="2"/>
        <v>0.62648467300000032</v>
      </c>
      <c r="G24">
        <f t="shared" si="3"/>
        <v>0.73657795000000037</v>
      </c>
      <c r="H24">
        <f t="shared" si="4"/>
        <v>0.55779592300000025</v>
      </c>
      <c r="I24">
        <f t="shared" si="5"/>
        <v>0.51557044200000024</v>
      </c>
      <c r="J24">
        <f t="shared" si="6"/>
        <v>0.50414568000000026</v>
      </c>
      <c r="K24">
        <f t="shared" si="7"/>
        <v>0.63111076042857184</v>
      </c>
      <c r="L24">
        <f t="shared" si="8"/>
        <v>0.15006161338644147</v>
      </c>
      <c r="O24">
        <f t="shared" si="23"/>
        <v>1.1000000000000006E-2</v>
      </c>
      <c r="P24">
        <f t="shared" si="9"/>
        <v>1.1039562800000007</v>
      </c>
      <c r="Q24">
        <f t="shared" si="10"/>
        <v>0.71597731000000053</v>
      </c>
      <c r="R24">
        <f t="shared" si="11"/>
        <v>0.78540809000000045</v>
      </c>
      <c r="S24">
        <f t="shared" si="12"/>
        <v>1.3966362800000005</v>
      </c>
      <c r="T24">
        <f t="shared" si="13"/>
        <v>0.86786946200000048</v>
      </c>
      <c r="U24">
        <f t="shared" si="14"/>
        <v>0.81150959100000042</v>
      </c>
      <c r="V24">
        <f t="shared" si="15"/>
        <v>0.68221293000000049</v>
      </c>
      <c r="W24">
        <f t="shared" si="16"/>
        <v>0.90908142042857176</v>
      </c>
      <c r="X24">
        <f t="shared" si="17"/>
        <v>0.25526399454724658</v>
      </c>
      <c r="AH24" s="3"/>
      <c r="AI24">
        <f t="shared" ref="AI24:AI27" si="24">AI23+0.0005</f>
        <v>1.0000000000000005E-2</v>
      </c>
      <c r="AJ24">
        <f>P22/D22</f>
        <v>1.2045648644224569</v>
      </c>
      <c r="AK24">
        <f>Q22/E22</f>
        <v>1.2851376883249195</v>
      </c>
      <c r="AL24">
        <f>R22/F22</f>
        <v>1.2532385014899869</v>
      </c>
      <c r="AM24">
        <f>S22/G22</f>
        <v>1.8931594440511235</v>
      </c>
      <c r="AN24">
        <f>T22/H22</f>
        <v>1.5548907089458694</v>
      </c>
      <c r="AO24">
        <f>U22/I22</f>
        <v>1.5726021370180645</v>
      </c>
      <c r="AP24">
        <f>V22/J22</f>
        <v>1.3576152169467781</v>
      </c>
      <c r="AQ24">
        <f t="shared" si="20"/>
        <v>1.4458869373141712</v>
      </c>
      <c r="AR24">
        <f t="shared" si="21"/>
        <v>0.24391707597261358</v>
      </c>
    </row>
    <row r="25" spans="1:44" x14ac:dyDescent="0.2">
      <c r="A25" s="3"/>
      <c r="C25">
        <f t="shared" si="18"/>
        <v>1.1500000000000007E-2</v>
      </c>
      <c r="D25">
        <f t="shared" si="0"/>
        <v>0.96169013275000048</v>
      </c>
      <c r="E25">
        <f t="shared" si="1"/>
        <v>0.58181789100000036</v>
      </c>
      <c r="F25">
        <f t="shared" si="2"/>
        <v>0.65455744425000029</v>
      </c>
      <c r="G25">
        <f t="shared" si="3"/>
        <v>0.76949513750000031</v>
      </c>
      <c r="H25">
        <f t="shared" si="4"/>
        <v>0.58285875675000032</v>
      </c>
      <c r="I25">
        <f t="shared" si="5"/>
        <v>0.53863896450000026</v>
      </c>
      <c r="J25">
        <f t="shared" si="6"/>
        <v>0.52645733000000028</v>
      </c>
      <c r="K25">
        <f t="shared" si="7"/>
        <v>0.65935937953571455</v>
      </c>
      <c r="L25">
        <f t="shared" si="8"/>
        <v>0.15687480635424933</v>
      </c>
      <c r="O25">
        <f t="shared" si="23"/>
        <v>1.1500000000000007E-2</v>
      </c>
      <c r="P25">
        <f t="shared" si="9"/>
        <v>1.1515824300000008</v>
      </c>
      <c r="Q25">
        <f t="shared" si="10"/>
        <v>0.74812429750000053</v>
      </c>
      <c r="R25">
        <f t="shared" si="11"/>
        <v>0.82075735250000048</v>
      </c>
      <c r="S25">
        <f t="shared" si="12"/>
        <v>1.4599489300000006</v>
      </c>
      <c r="T25">
        <f t="shared" si="13"/>
        <v>0.90709095950000052</v>
      </c>
      <c r="U25">
        <f t="shared" si="14"/>
        <v>0.8480911397500005</v>
      </c>
      <c r="V25">
        <f t="shared" si="15"/>
        <v>0.71138339250000049</v>
      </c>
      <c r="W25">
        <f t="shared" si="16"/>
        <v>0.94956835739285761</v>
      </c>
      <c r="X25">
        <f t="shared" si="17"/>
        <v>0.26686576875745383</v>
      </c>
      <c r="AH25" s="3"/>
      <c r="AI25">
        <f t="shared" si="24"/>
        <v>1.0500000000000006E-2</v>
      </c>
      <c r="AJ25">
        <f>P23/D23</f>
        <v>1.2019485517156647</v>
      </c>
      <c r="AK25">
        <f>Q23/E23</f>
        <v>1.2853608127095295</v>
      </c>
      <c r="AL25">
        <f>R23/F23</f>
        <v>1.2534498097264071</v>
      </c>
      <c r="AM25">
        <f>S23/G23</f>
        <v>1.8947502206084832</v>
      </c>
      <c r="AN25">
        <f>T23/H23</f>
        <v>1.5554312765735065</v>
      </c>
      <c r="AO25">
        <f>U23/I23</f>
        <v>1.5733742339486609</v>
      </c>
      <c r="AP25">
        <f>V23/J23</f>
        <v>1.3553148007656561</v>
      </c>
      <c r="AQ25">
        <f t="shared" si="20"/>
        <v>1.4456613865782728</v>
      </c>
      <c r="AR25">
        <f t="shared" si="21"/>
        <v>0.24503088128061257</v>
      </c>
    </row>
    <row r="26" spans="1:44" x14ac:dyDescent="0.2">
      <c r="A26" s="3"/>
      <c r="C26">
        <f>C25+0.0005</f>
        <v>1.2000000000000007E-2</v>
      </c>
      <c r="D26">
        <f t="shared" si="0"/>
        <v>1.0031360160000005</v>
      </c>
      <c r="E26">
        <f t="shared" si="1"/>
        <v>0.60675590400000035</v>
      </c>
      <c r="F26">
        <f t="shared" si="2"/>
        <v>0.68266427200000035</v>
      </c>
      <c r="G26">
        <f t="shared" si="3"/>
        <v>0.80247280000000043</v>
      </c>
      <c r="H26">
        <f t="shared" si="4"/>
        <v>0.60796027200000036</v>
      </c>
      <c r="I26">
        <f t="shared" si="5"/>
        <v>0.56175308800000034</v>
      </c>
      <c r="J26">
        <f t="shared" si="6"/>
        <v>0.54882752000000035</v>
      </c>
      <c r="K26">
        <f t="shared" si="7"/>
        <v>0.68765283885714334</v>
      </c>
      <c r="L26">
        <f t="shared" si="8"/>
        <v>0.16368495147667333</v>
      </c>
      <c r="O26">
        <f>O25+0.0005</f>
        <v>1.2000000000000007E-2</v>
      </c>
      <c r="P26">
        <f t="shared" si="9"/>
        <v>1.1992699200000008</v>
      </c>
      <c r="Q26">
        <f t="shared" si="10"/>
        <v>0.78034384000000045</v>
      </c>
      <c r="R26">
        <f t="shared" si="11"/>
        <v>0.85616976000000045</v>
      </c>
      <c r="S26">
        <f t="shared" si="12"/>
        <v>1.5233139200000008</v>
      </c>
      <c r="T26">
        <f t="shared" si="13"/>
        <v>0.94635436800000061</v>
      </c>
      <c r="U26">
        <f t="shared" si="14"/>
        <v>0.88470622400000054</v>
      </c>
      <c r="V26">
        <f t="shared" si="15"/>
        <v>0.74062752000000054</v>
      </c>
      <c r="W26">
        <f t="shared" si="16"/>
        <v>0.99011222171428614</v>
      </c>
      <c r="X26">
        <f t="shared" si="17"/>
        <v>0.27846667703974731</v>
      </c>
      <c r="AH26" s="3"/>
      <c r="AI26">
        <f t="shared" si="24"/>
        <v>1.1000000000000006E-2</v>
      </c>
      <c r="AJ26">
        <f>P24/D24</f>
        <v>1.1995902293935437</v>
      </c>
      <c r="AK26">
        <f>Q24/E24</f>
        <v>1.2855951735475255</v>
      </c>
      <c r="AL26">
        <f>R24/F24</f>
        <v>1.253674868435289</v>
      </c>
      <c r="AM26">
        <f>S24/G24</f>
        <v>1.8961147017773201</v>
      </c>
      <c r="AN26">
        <f>T24/H24</f>
        <v>1.5558906514273683</v>
      </c>
      <c r="AO26">
        <f>U24/I24</f>
        <v>1.5740033269789351</v>
      </c>
      <c r="AP26">
        <f>V24/J24</f>
        <v>1.3532059423776084</v>
      </c>
      <c r="AQ26">
        <f t="shared" si="20"/>
        <v>1.445439270562513</v>
      </c>
      <c r="AR26">
        <f t="shared" si="21"/>
        <v>0.24600441309841131</v>
      </c>
    </row>
    <row r="27" spans="1:44" x14ac:dyDescent="0.2">
      <c r="A27" s="3"/>
      <c r="C27">
        <f t="shared" si="18"/>
        <v>1.2500000000000008E-2</v>
      </c>
      <c r="D27">
        <f t="shared" si="0"/>
        <v>1.0446154687500007</v>
      </c>
      <c r="E27">
        <f t="shared" si="1"/>
        <v>0.63173687500000042</v>
      </c>
      <c r="F27">
        <f t="shared" si="2"/>
        <v>0.7108051562500004</v>
      </c>
      <c r="G27">
        <f t="shared" si="3"/>
        <v>0.83551093750000038</v>
      </c>
      <c r="H27">
        <f t="shared" si="4"/>
        <v>0.63310046875000037</v>
      </c>
      <c r="I27">
        <f t="shared" si="5"/>
        <v>0.58491281250000027</v>
      </c>
      <c r="J27">
        <f t="shared" si="6"/>
        <v>0.57125625000000024</v>
      </c>
      <c r="K27">
        <f t="shared" si="7"/>
        <v>0.71599113839285766</v>
      </c>
      <c r="L27">
        <f t="shared" si="8"/>
        <v>0.17049202656955331</v>
      </c>
      <c r="O27">
        <f t="shared" ref="O27:O31" si="25">O26+0.0005</f>
        <v>1.2500000000000008E-2</v>
      </c>
      <c r="P27">
        <f t="shared" si="9"/>
        <v>1.2470187500000007</v>
      </c>
      <c r="Q27">
        <f t="shared" si="10"/>
        <v>0.81263593750000063</v>
      </c>
      <c r="R27">
        <f t="shared" si="11"/>
        <v>0.89164531250000056</v>
      </c>
      <c r="S27">
        <f t="shared" si="12"/>
        <v>1.5867312500000008</v>
      </c>
      <c r="T27">
        <f t="shared" si="13"/>
        <v>0.98565968750000055</v>
      </c>
      <c r="U27">
        <f t="shared" si="14"/>
        <v>0.92135484375000054</v>
      </c>
      <c r="V27">
        <f t="shared" si="15"/>
        <v>0.76994531250000053</v>
      </c>
      <c r="W27">
        <f t="shared" si="16"/>
        <v>1.0307130133928577</v>
      </c>
      <c r="X27">
        <f t="shared" si="17"/>
        <v>0.29006628347703278</v>
      </c>
      <c r="AH27" s="3"/>
      <c r="AI27">
        <f t="shared" si="24"/>
        <v>1.1500000000000007E-2</v>
      </c>
      <c r="AJ27">
        <f>P25/D25</f>
        <v>1.1974568426807022</v>
      </c>
      <c r="AK27">
        <f>Q25/E25</f>
        <v>1.2858392790468522</v>
      </c>
      <c r="AL27">
        <f>R25/F25</f>
        <v>1.2539118754358283</v>
      </c>
      <c r="AM27">
        <f>S25/G25</f>
        <v>1.8972815536472445</v>
      </c>
      <c r="AN27">
        <f>T25/H25</f>
        <v>1.5562791997119636</v>
      </c>
      <c r="AO27">
        <f>U25/I25</f>
        <v>1.5745075934810135</v>
      </c>
      <c r="AP27">
        <f>V25/J25</f>
        <v>1.3512650540927982</v>
      </c>
      <c r="AQ27">
        <f t="shared" si="20"/>
        <v>1.4452201997280574</v>
      </c>
      <c r="AR27">
        <f t="shared" si="21"/>
        <v>0.24685495156586587</v>
      </c>
    </row>
    <row r="28" spans="1:44" x14ac:dyDescent="0.2">
      <c r="A28" s="3"/>
      <c r="C28">
        <f t="shared" si="18"/>
        <v>1.3000000000000008E-2</v>
      </c>
      <c r="D28">
        <f t="shared" si="0"/>
        <v>1.0861284910000006</v>
      </c>
      <c r="E28">
        <f t="shared" si="1"/>
        <v>0.65676080400000036</v>
      </c>
      <c r="F28">
        <f t="shared" si="2"/>
        <v>0.73898009700000034</v>
      </c>
      <c r="G28">
        <f t="shared" si="3"/>
        <v>0.86860955000000051</v>
      </c>
      <c r="H28">
        <f t="shared" si="4"/>
        <v>0.65827934700000035</v>
      </c>
      <c r="I28">
        <f t="shared" si="5"/>
        <v>0.60811813800000036</v>
      </c>
      <c r="J28">
        <f t="shared" si="6"/>
        <v>0.5937435200000003</v>
      </c>
      <c r="K28">
        <f t="shared" si="7"/>
        <v>0.7443742781428575</v>
      </c>
      <c r="L28">
        <f t="shared" si="8"/>
        <v>0.17729601472040249</v>
      </c>
      <c r="O28">
        <f t="shared" si="25"/>
        <v>1.3000000000000008E-2</v>
      </c>
      <c r="P28">
        <f t="shared" si="9"/>
        <v>1.2948289200000009</v>
      </c>
      <c r="Q28">
        <f t="shared" si="10"/>
        <v>0.84500059000000061</v>
      </c>
      <c r="R28">
        <f t="shared" si="11"/>
        <v>0.92718401000000061</v>
      </c>
      <c r="S28">
        <f t="shared" si="12"/>
        <v>1.6502009200000007</v>
      </c>
      <c r="T28">
        <f t="shared" si="13"/>
        <v>1.0250069180000008</v>
      </c>
      <c r="U28">
        <f t="shared" si="14"/>
        <v>0.9580369990000005</v>
      </c>
      <c r="V28">
        <f t="shared" si="15"/>
        <v>0.79933677000000058</v>
      </c>
      <c r="W28">
        <f t="shared" si="16"/>
        <v>1.0713707324285722</v>
      </c>
      <c r="X28">
        <f t="shared" si="17"/>
        <v>0.30166422146715843</v>
      </c>
      <c r="AH28" s="3"/>
      <c r="AI28">
        <f>AI27+0.0005</f>
        <v>1.2000000000000007E-2</v>
      </c>
      <c r="AJ28">
        <f>P26/D26</f>
        <v>1.1955207478065468</v>
      </c>
      <c r="AK28">
        <f>Q26/E26</f>
        <v>1.2860918778962553</v>
      </c>
      <c r="AL28">
        <f>R26/F26</f>
        <v>1.254159321230744</v>
      </c>
      <c r="AM28">
        <f>S26/G26</f>
        <v>1.8982748324927647</v>
      </c>
      <c r="AN28">
        <f>T26/H26</f>
        <v>1.5566056066242435</v>
      </c>
      <c r="AO28">
        <f>U26/I26</f>
        <v>1.5749022887436268</v>
      </c>
      <c r="AP28">
        <f>V26/J26</f>
        <v>1.3494722713613196</v>
      </c>
      <c r="AQ28">
        <f t="shared" si="20"/>
        <v>1.4450038494507857</v>
      </c>
      <c r="AR28">
        <f t="shared" si="21"/>
        <v>0.24759708192812396</v>
      </c>
    </row>
    <row r="29" spans="1:44" x14ac:dyDescent="0.2">
      <c r="A29" s="3"/>
      <c r="C29">
        <f t="shared" si="18"/>
        <v>1.3500000000000009E-2</v>
      </c>
      <c r="D29">
        <f t="shared" si="0"/>
        <v>1.1276750827500008</v>
      </c>
      <c r="E29">
        <f t="shared" si="1"/>
        <v>0.6818276910000004</v>
      </c>
      <c r="F29">
        <f t="shared" si="2"/>
        <v>0.76718909425000037</v>
      </c>
      <c r="G29">
        <f t="shared" si="3"/>
        <v>0.90176863750000047</v>
      </c>
      <c r="H29">
        <f t="shared" si="4"/>
        <v>0.68349690675000041</v>
      </c>
      <c r="I29">
        <f t="shared" si="5"/>
        <v>0.63136906450000041</v>
      </c>
      <c r="J29">
        <f t="shared" si="6"/>
        <v>0.6162893300000003</v>
      </c>
      <c r="K29">
        <f t="shared" si="7"/>
        <v>0.7728022581071432</v>
      </c>
      <c r="L29">
        <f t="shared" si="8"/>
        <v>0.18409690331097078</v>
      </c>
      <c r="O29">
        <f t="shared" si="25"/>
        <v>1.3500000000000009E-2</v>
      </c>
      <c r="P29">
        <f t="shared" si="9"/>
        <v>1.3427004300000009</v>
      </c>
      <c r="Q29">
        <f t="shared" si="10"/>
        <v>0.87743779750000062</v>
      </c>
      <c r="R29">
        <f t="shared" si="11"/>
        <v>0.96278585250000059</v>
      </c>
      <c r="S29">
        <f t="shared" si="12"/>
        <v>1.713722930000001</v>
      </c>
      <c r="T29">
        <f t="shared" si="13"/>
        <v>1.0643960595000006</v>
      </c>
      <c r="U29">
        <f t="shared" si="14"/>
        <v>0.99475268975000053</v>
      </c>
      <c r="V29">
        <f t="shared" si="15"/>
        <v>0.82880189250000058</v>
      </c>
      <c r="W29">
        <f t="shared" si="16"/>
        <v>1.1120853788214293</v>
      </c>
      <c r="X29">
        <f t="shared" si="17"/>
        <v>0.31326018087274271</v>
      </c>
      <c r="AH29" s="3"/>
      <c r="AI29">
        <f t="shared" ref="AI29:AI33" si="26">AI28+0.0005</f>
        <v>1.2500000000000008E-2</v>
      </c>
      <c r="AJ29">
        <f>P27/D27</f>
        <v>1.1937586483303739</v>
      </c>
      <c r="AK29">
        <f>Q27/E27</f>
        <v>1.2863519127326548</v>
      </c>
      <c r="AL29">
        <f>R27/F27</f>
        <v>1.2544159319328236</v>
      </c>
      <c r="AM29">
        <f>S27/G27</f>
        <v>1.8991148754411131</v>
      </c>
      <c r="AN29">
        <f>T27/H27</f>
        <v>1.5568772037810941</v>
      </c>
      <c r="AO29">
        <f>U27/I27</f>
        <v>1.5752003103026575</v>
      </c>
      <c r="AP29">
        <f>V27/J27</f>
        <v>1.347810746053107</v>
      </c>
      <c r="AQ29">
        <f t="shared" si="20"/>
        <v>1.4447899469391177</v>
      </c>
      <c r="AR29">
        <f t="shared" si="21"/>
        <v>0.24824319770332079</v>
      </c>
    </row>
    <row r="30" spans="1:44" x14ac:dyDescent="0.2">
      <c r="A30" s="3"/>
      <c r="C30">
        <f t="shared" si="18"/>
        <v>1.4000000000000009E-2</v>
      </c>
      <c r="D30">
        <f t="shared" si="0"/>
        <v>1.1692552440000008</v>
      </c>
      <c r="E30">
        <f t="shared" si="1"/>
        <v>0.70693753600000042</v>
      </c>
      <c r="F30">
        <f t="shared" si="2"/>
        <v>0.79543214800000039</v>
      </c>
      <c r="G30">
        <f t="shared" si="3"/>
        <v>0.93498820000000049</v>
      </c>
      <c r="H30">
        <f t="shared" si="4"/>
        <v>0.70875314800000044</v>
      </c>
      <c r="I30">
        <f t="shared" si="5"/>
        <v>0.65466559200000041</v>
      </c>
      <c r="J30">
        <f t="shared" si="6"/>
        <v>0.63889368000000035</v>
      </c>
      <c r="K30">
        <f t="shared" si="7"/>
        <v>0.80127507828571487</v>
      </c>
      <c r="L30">
        <f t="shared" si="8"/>
        <v>0.19089468324991141</v>
      </c>
      <c r="O30">
        <f t="shared" si="25"/>
        <v>1.4000000000000009E-2</v>
      </c>
      <c r="P30">
        <f t="shared" si="9"/>
        <v>1.390633280000001</v>
      </c>
      <c r="Q30">
        <f t="shared" si="10"/>
        <v>0.90994756000000065</v>
      </c>
      <c r="R30">
        <f t="shared" si="11"/>
        <v>0.99845084000000051</v>
      </c>
      <c r="S30">
        <f t="shared" si="12"/>
        <v>1.7772972800000009</v>
      </c>
      <c r="T30">
        <f t="shared" si="13"/>
        <v>1.1038271120000007</v>
      </c>
      <c r="U30">
        <f t="shared" si="14"/>
        <v>1.0315019160000007</v>
      </c>
      <c r="V30">
        <f t="shared" si="15"/>
        <v>0.85834068000000052</v>
      </c>
      <c r="W30">
        <f t="shared" si="16"/>
        <v>1.1528569525714294</v>
      </c>
      <c r="X30">
        <f t="shared" si="17"/>
        <v>0.32485389792449837</v>
      </c>
      <c r="AH30" s="3"/>
      <c r="AI30">
        <f t="shared" si="26"/>
        <v>1.3000000000000008E-2</v>
      </c>
      <c r="AJ30">
        <f>P28/D28</f>
        <v>1.1921507728867782</v>
      </c>
      <c r="AK30">
        <f>Q28/E28</f>
        <v>1.2866184840105046</v>
      </c>
      <c r="AL30">
        <f>R28/F28</f>
        <v>1.2546806250453051</v>
      </c>
      <c r="AM30">
        <f>S28/G28</f>
        <v>1.8998189923193911</v>
      </c>
      <c r="AN30">
        <f>T28/H28</f>
        <v>1.5571002229848177</v>
      </c>
      <c r="AO30">
        <f>U28/I28</f>
        <v>1.5754126363519187</v>
      </c>
      <c r="AP30">
        <f>V28/J28</f>
        <v>1.3462660948282859</v>
      </c>
      <c r="AQ30">
        <f t="shared" si="20"/>
        <v>1.4445782612038571</v>
      </c>
      <c r="AR30">
        <f t="shared" si="21"/>
        <v>0.24880389574091485</v>
      </c>
    </row>
    <row r="31" spans="1:44" x14ac:dyDescent="0.2">
      <c r="A31" s="3"/>
      <c r="C31">
        <f t="shared" si="18"/>
        <v>1.4500000000000009E-2</v>
      </c>
      <c r="D31">
        <f t="shared" si="0"/>
        <v>1.2108689747500005</v>
      </c>
      <c r="E31">
        <f t="shared" si="1"/>
        <v>0.73209033900000042</v>
      </c>
      <c r="F31">
        <f t="shared" si="2"/>
        <v>0.82370925825000052</v>
      </c>
      <c r="G31">
        <f t="shared" si="3"/>
        <v>0.96826823750000057</v>
      </c>
      <c r="H31">
        <f t="shared" si="4"/>
        <v>0.73404807075000045</v>
      </c>
      <c r="I31">
        <f t="shared" si="5"/>
        <v>0.67800772050000035</v>
      </c>
      <c r="J31">
        <f t="shared" si="6"/>
        <v>0.66155657000000034</v>
      </c>
      <c r="K31">
        <f t="shared" si="7"/>
        <v>0.82979273867857184</v>
      </c>
      <c r="L31">
        <f t="shared" si="8"/>
        <v>0.19768934836469859</v>
      </c>
      <c r="O31">
        <f t="shared" si="25"/>
        <v>1.4500000000000009E-2</v>
      </c>
      <c r="P31">
        <f t="shared" si="9"/>
        <v>1.438627470000001</v>
      </c>
      <c r="Q31">
        <f t="shared" si="10"/>
        <v>0.94252987750000072</v>
      </c>
      <c r="R31">
        <f t="shared" si="11"/>
        <v>1.0341789725000006</v>
      </c>
      <c r="S31">
        <f t="shared" si="12"/>
        <v>1.8409239700000011</v>
      </c>
      <c r="T31">
        <f t="shared" si="13"/>
        <v>1.1433000755000009</v>
      </c>
      <c r="U31">
        <f t="shared" si="14"/>
        <v>1.0682846777500008</v>
      </c>
      <c r="V31">
        <f t="shared" si="15"/>
        <v>0.88795313250000074</v>
      </c>
      <c r="W31">
        <f t="shared" si="16"/>
        <v>1.1936854536785724</v>
      </c>
      <c r="X31">
        <f t="shared" si="17"/>
        <v>0.33644514721423546</v>
      </c>
      <c r="AH31" s="3"/>
      <c r="AI31">
        <f t="shared" si="26"/>
        <v>1.3500000000000009E-2</v>
      </c>
      <c r="AJ31">
        <f>P29/D29</f>
        <v>1.1906802327543049</v>
      </c>
      <c r="AK31">
        <f>Q29/E29</f>
        <v>1.2868908216577553</v>
      </c>
      <c r="AL31">
        <f>R29/F29</f>
        <v>1.2549524748409184</v>
      </c>
      <c r="AM31">
        <f>S29/G29</f>
        <v>1.9004020086027889</v>
      </c>
      <c r="AN31">
        <f>T29/H29</f>
        <v>1.5572799949617329</v>
      </c>
      <c r="AO31">
        <f>U29/I29</f>
        <v>1.5755486698382573</v>
      </c>
      <c r="AP31">
        <f>V29/J29</f>
        <v>1.3448259642918046</v>
      </c>
      <c r="AQ31">
        <f t="shared" si="20"/>
        <v>1.4443685952782228</v>
      </c>
      <c r="AR31">
        <f t="shared" si="21"/>
        <v>0.24928828918151039</v>
      </c>
    </row>
    <row r="32" spans="1:44" x14ac:dyDescent="0.2">
      <c r="A32" s="3"/>
      <c r="C32">
        <f>C31+0.0005</f>
        <v>1.500000000000001E-2</v>
      </c>
      <c r="D32">
        <f t="shared" si="0"/>
        <v>1.2525162750000007</v>
      </c>
      <c r="E32">
        <f t="shared" si="1"/>
        <v>0.75728610000000052</v>
      </c>
      <c r="F32">
        <f t="shared" si="2"/>
        <v>0.85202042500000053</v>
      </c>
      <c r="G32">
        <f t="shared" si="3"/>
        <v>1.0016087500000006</v>
      </c>
      <c r="H32">
        <f t="shared" si="4"/>
        <v>0.75938167500000042</v>
      </c>
      <c r="I32">
        <f t="shared" si="5"/>
        <v>0.70139545000000048</v>
      </c>
      <c r="J32">
        <f t="shared" si="6"/>
        <v>0.68427800000000039</v>
      </c>
      <c r="K32">
        <f t="shared" si="7"/>
        <v>0.85835523928571489</v>
      </c>
      <c r="L32">
        <f t="shared" si="8"/>
        <v>0.20448089491550955</v>
      </c>
      <c r="O32">
        <f>O31+0.0005</f>
        <v>1.500000000000001E-2</v>
      </c>
      <c r="P32">
        <f t="shared" si="9"/>
        <v>1.4866830000000011</v>
      </c>
      <c r="Q32">
        <f t="shared" si="10"/>
        <v>0.97518475000000071</v>
      </c>
      <c r="R32">
        <f t="shared" si="11"/>
        <v>1.0699702500000008</v>
      </c>
      <c r="S32">
        <f t="shared" si="12"/>
        <v>1.9046030000000009</v>
      </c>
      <c r="T32">
        <f t="shared" si="13"/>
        <v>1.1828149500000007</v>
      </c>
      <c r="U32">
        <f t="shared" si="14"/>
        <v>1.1051009750000009</v>
      </c>
      <c r="V32">
        <f t="shared" si="15"/>
        <v>0.91763925000000068</v>
      </c>
      <c r="W32">
        <f t="shared" si="16"/>
        <v>1.234570882142858</v>
      </c>
      <c r="X32">
        <f t="shared" si="17"/>
        <v>0.34803373529029541</v>
      </c>
      <c r="AH32" s="3"/>
      <c r="AI32">
        <f t="shared" si="26"/>
        <v>1.4000000000000009E-2</v>
      </c>
      <c r="AJ32">
        <f>P30/D30</f>
        <v>1.1893325149799372</v>
      </c>
      <c r="AK32">
        <f>Q30/E30</f>
        <v>1.2871682626285106</v>
      </c>
      <c r="AL32">
        <f>R30/F30</f>
        <v>1.255230684993637</v>
      </c>
      <c r="AM32">
        <f>S30/G30</f>
        <v>1.9008766955561578</v>
      </c>
      <c r="AN32">
        <f>T30/H30</f>
        <v>1.5574211065091452</v>
      </c>
      <c r="AO32">
        <f>U30/I30</f>
        <v>1.575616511093499</v>
      </c>
      <c r="AP32">
        <f>V30/J30</f>
        <v>1.3434796850706052</v>
      </c>
      <c r="AQ32">
        <f t="shared" si="20"/>
        <v>1.4441607801187843</v>
      </c>
      <c r="AR32">
        <f t="shared" si="21"/>
        <v>0.24970425745925071</v>
      </c>
    </row>
    <row r="33" spans="34:44" x14ac:dyDescent="0.2">
      <c r="AH33" s="3"/>
      <c r="AI33">
        <f t="shared" si="26"/>
        <v>1.4500000000000009E-2</v>
      </c>
      <c r="AJ33">
        <f>P31/D31</f>
        <v>1.1880950788230611</v>
      </c>
      <c r="AK33">
        <f>Q31/E31</f>
        <v>1.2874502329691311</v>
      </c>
      <c r="AL33">
        <f>R31/F31</f>
        <v>1.2555145667503489</v>
      </c>
      <c r="AM33">
        <f>S31/G31</f>
        <v>1.9012541139975172</v>
      </c>
      <c r="AN33">
        <f>T31/H31</f>
        <v>1.5575275258633328</v>
      </c>
      <c r="AO33">
        <f>U31/I31</f>
        <v>1.5756231757393391</v>
      </c>
      <c r="AP33">
        <f>V31/J31</f>
        <v>1.3422179942979031</v>
      </c>
      <c r="AQ33">
        <f t="shared" si="20"/>
        <v>1.4439546697772332</v>
      </c>
      <c r="AR33">
        <f t="shared" si="21"/>
        <v>0.25005864757967411</v>
      </c>
    </row>
    <row r="34" spans="34:44" x14ac:dyDescent="0.2">
      <c r="AH34" s="3"/>
      <c r="AI34">
        <f>AI33+0.0005</f>
        <v>1.500000000000001E-2</v>
      </c>
      <c r="AJ34">
        <f>P32/D32</f>
        <v>1.1869570317559348</v>
      </c>
      <c r="AK34">
        <f>Q32/E32</f>
        <v>1.287736233373358</v>
      </c>
      <c r="AL34">
        <f>R32/F32</f>
        <v>1.2558035213768497</v>
      </c>
      <c r="AM34">
        <f>S32/G32</f>
        <v>1.9015438912649274</v>
      </c>
      <c r="AN34">
        <f>T32/H32</f>
        <v>1.5576027035416677</v>
      </c>
      <c r="AO34">
        <f>U32/I32</f>
        <v>1.5755747702669018</v>
      </c>
      <c r="AP34">
        <f>V32/J32</f>
        <v>1.3410328112258469</v>
      </c>
      <c r="AQ34">
        <f t="shared" si="20"/>
        <v>1.4437501375436408</v>
      </c>
      <c r="AR34">
        <f t="shared" si="21"/>
        <v>0.2503574373611186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The University of Liverpool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Shao-Hsuan</dc:creator>
  <cp:lastModifiedBy>user</cp:lastModifiedBy>
  <dcterms:created xsi:type="dcterms:W3CDTF">2018-05-17T12:18:06Z</dcterms:created>
  <dcterms:modified xsi:type="dcterms:W3CDTF">2020-10-19T00:34:32Z</dcterms:modified>
</cp:coreProperties>
</file>